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dfe66eb67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ЛАН ОПЛАТ" sheetId="1" r:id="R31a3a9b7c75f4a60"/>
    <x:sheet xmlns:r="http://schemas.openxmlformats.org/officeDocument/2006/relationships" name="СОПОСТАВЛЕНИЕ" sheetId="2" r:id="Re7c89ed92c3a49c0"/>
    <x:sheet xmlns:r="http://schemas.openxmlformats.org/officeDocument/2006/relationships" name="САЛЬДО 13.08.26" sheetId="3" r:id="Ra6ff6da0ba82487e"/>
    <x:sheet xmlns:r="http://schemas.openxmlformats.org/officeDocument/2006/relationships" name="КОНТРОЛЬ" sheetId="4" r:id="R60fb2dbc37e94432"/>
    <x:sheet xmlns:r="http://schemas.openxmlformats.org/officeDocument/2006/relationships" name="ИСТОЧНИКИ" sheetId="5" r:id="Rd1fa7c58e4e44241"/>
  </x:sheets>
</x:workbook>
</file>

<file path=xl/comments1.xml><?xml version="1.0" encoding="utf-8"?>
<x:comments xmlns:x="http://schemas.openxmlformats.org/spreadsheetml/2006/main">
  <x:authors>
    <x:author>tc={45A61014-0A0D-C1AA-71D0-5A78AF87958C}</x:author>
    <x:author>tc={BCB0A3B6-6FAB-55F1-D999-8F9DBE2AFCB5}</x:author>
    <x:author>tc={314B691D-2A5F-5FB2-9CA8-5F07B824A3ED}</x:author>
    <x:author>tc={0EA31162-A185-F288-4A18-791D1E9322B0}</x:author>
    <x:author>tc={C45F20D1-73F5-525D-18A5-A540471E9D30}</x:author>
    <x:author>tc={53638B22-ACD4-5C03-E1B7-1AD542053190}</x:author>
    <x:author>tc={9CE3F0C1-B1CA-E59A-3FD1-AA7A1CF5F611}</x:author>
    <x:author>tc={F5EFE2C3-984B-05D4-8004-4610549CA0B7}</x:author>
    <x:author>tc={1D61263B-40E6-91F6-973E-0DF0B4DAAB95}</x:author>
  </x:authors>
  <x:commentList>
    <x:comment ref="D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Конечное сальдо перенесено из текущего ПЛАНА ОПЛАТ и относится к 13.08.2026. Новый файл сальдо на 17.08.2026 не предоставлен. Значение ставится только в первой строке пары «Поставщик + Плательщик».</x:t>
        </x:r>
      </x:text>
    </x:comment>
    <x:comment ref="F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Номер заказа извлекается только из фрагментов со знаком «№». Неизвлечённые трёхзначные числа перечислены на листе «КОНТРОЛЬ».</x:t>
        </x:r>
      </x:text>
    </x:comment>
    <x:comment ref="H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столбец H листа «17.08.2026» файла ПРОИЗВОДСТВО Реестр на согласование  на 17 08 2026_.xlsx.</x:t>
        </x:r>
      </x:text>
    </x:comment>
    <x:comment ref="I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столбец I листа «17.08.2026» файла ПРОИЗВОДСТВО Реестр на согласование  на 17 08 2026_.xlsx.</x:t>
        </x:r>
      </x:text>
    </x:comment>
    <x:comment ref="J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Сохранены значения столбца J реестра. Они не всегда равны «Сумма счёта − Сумма оплачено» из-за отдельных расчётов и валютных пересчётов.</x:t>
        </x:r>
      </x:text>
    </x:comment>
    <x:comment ref="J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Общий итог рассчитывается как сумма шести итогов разделов. Итоги разделов рассчитываются формулами по принадлежащим им строкам.</x:t>
        </x:r>
      </x:text>
    </x:comment>
    <x:comment ref="D8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данные пользователя от 13.08.2026. Плательщик должен поставщику БК Алпроф; задолженность отражена отрицательным числом, красным цветом в скобках.</x:t>
        </x:r>
      </x:text>
    </x:comment>
    <x:comment ref="D10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данные пользователя от 13.08.2026. Плательщик должен поставщику БК Алпроф; задолженность отражена отрицательным числом, красным цветом в скобках.</x:t>
        </x:r>
      </x:text>
    </x:comment>
    <x:comment ref="D95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данные пользователя от 13.08.2026. Плательщик должен поставщику БК Алпроф; задолженность отражена отрицательным числом, красным цветом в скобках.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-"/>
    <x:numFmt numFmtId="201" formatCode="#,##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595959"/>
      <x:name val="Carlito"/>
    </x:font>
    <x:font>
      <x:b/>
      <x:sz val="11"/>
      <x:color rgb="FF000000"/>
      <x:name val="Carlito"/>
    </x:font>
    <x:font>
      <x:sz val="11"/>
      <x:color rgb="FF404040"/>
      <x:name val="Carlito"/>
    </x:font>
    <x:font>
      <x:i/>
      <x:sz val="11"/>
      <x:color rgb="FF7F6000"/>
      <x:name val="Carlito"/>
    </x:font>
    <x:font>
      <x:b/>
      <x:sz val="11"/>
      <x:color rgb="FF7F6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203864"/>
      </x:patternFill>
    </x:fill>
    <x:fill>
      <x:patternFill patternType="solid">
        <x:fgColor rgb="FFFFF200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</x:fills>
  <x:borders count="8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medium">
        <x:color rgb="FF1F4E78"/>
      </x:left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left style="medium">
        <x:color rgb="FFB7A800"/>
      </x:left>
      <x:right style="medium">
        <x:color rgb="FFB7A800"/>
      </x:right>
      <x:top style="medium">
        <x:color rgb="FFB7A800"/>
      </x:top>
      <x:bottom style="medium">
        <x:color rgb="FFB7A80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2" xfId="0" applyNumberFormat="1" applyFont="1" applyFill="1" applyBorder="1" applyAlignment="1">
      <x:alignment horizontal="center"/>
    </x:xf>
    <x:xf numFmtId="0" fontId="1" fillId="5" borderId="2" xfId="0" applyNumberFormat="1" applyFont="1" applyFill="1" applyBorder="1" applyAlignment="1">
      <x:alignment horizontal="center" vertical="center"/>
    </x:xf>
    <x:xf numFmtId="200" fontId="1" fillId="5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3" xfId="0" applyNumberFormat="1" applyFont="1" applyFill="1" applyBorder="1"/>
    <x:xf numFmtId="0" fontId="3" fillId="6" borderId="3" xfId="0" applyNumberFormat="1" applyFont="1" applyFill="1" applyBorder="1" applyAlignment="1">
      <x:alignment vertical="center"/>
    </x:xf>
    <x:xf numFmtId="0" fontId="3" fillId="6" borderId="3" xfId="0" applyNumberFormat="1" applyFont="1" applyFill="1" applyBorder="1" applyAlignment="1">
      <x:alignment horizontal="left" vertical="center"/>
    </x:xf>
    <x:xf numFmtId="0" fontId="3" fillId="6" borderId="3" xfId="0" applyNumberFormat="1" applyFont="1" applyFill="1" applyBorder="1" applyAlignment="1">
      <x:alignment horizontal="center" vertical="center"/>
    </x:xf>
    <x:xf numFmtId="200" fontId="3" fillId="6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200" fontId="4" fillId="7" borderId="4" xfId="0" applyNumberFormat="1" applyFont="1" applyFill="1" applyBorder="1" applyAlignment="1">
      <x:alignment vertical="center" wrapText="1"/>
    </x:xf>
    <x:xf numFmtId="200" fontId="4" fillId="7" borderId="4" xfId="0" applyNumberFormat="1" applyFont="1" applyFill="1" applyBorder="1" applyAlignment="1">
      <x:alignment horizontal="right"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horizontal="right" vertical="center" wrapText="1"/>
    </x:xf>
    <x:xf numFmtId="200" fontId="4" fillId="8" borderId="4" xfId="0" applyNumberFormat="1" applyFont="1" applyFill="1" applyBorder="1" applyAlignment="1">
      <x:alignment horizontal="right" vertical="center" wrapText="1"/>
    </x:xf>
    <x:xf numFmtId="0" fontId="4" fillId="9" borderId="4" xfId="0" applyNumberFormat="1" applyFont="1" applyFill="1" applyBorder="1" applyAlignment="1">
      <x:alignment horizontal="center" vertical="center" wrapText="1"/>
    </x:xf>
    <x:xf numFmtId="0" fontId="4" fillId="9" borderId="4" xfId="0" applyNumberFormat="1" applyFont="1" applyFill="1" applyBorder="1" applyAlignment="1">
      <x:alignment vertical="center" wrapText="1"/>
    </x:xf>
    <x:xf numFmtId="200" fontId="4" fillId="9" borderId="4" xfId="0" applyNumberFormat="1" applyFont="1" applyFill="1" applyBorder="1" applyAlignment="1">
      <x:alignment horizontal="right"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1" fontId="2" fillId="3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0" fontId="4" fillId="0" borderId="7" xfId="0" applyNumberFormat="1" applyFont="1" applyFill="1" applyBorder="1" applyAlignment="1">
      <x:alignment vertical="center" wrapText="1"/>
    </x:xf>
    <x:xf numFmtId="0" fontId="4" fillId="9" borderId="5" xfId="0" applyNumberFormat="1" applyFont="1" applyFill="1" applyBorder="1" applyAlignment="1">
      <x:alignment vertical="center" wrapText="1"/>
    </x:xf>
    <x:xf numFmtId="200" fontId="4" fillId="9" borderId="5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0" fontId="4" fillId="8" borderId="6" xfId="0" applyNumberFormat="1" applyFont="1" applyFill="1" applyBorder="1" applyAlignment="1">
      <x:alignment vertical="center" wrapText="1"/>
    </x:xf>
    <x:xf numFmtId="0" fontId="4" fillId="9" borderId="6" xfId="0" applyNumberFormat="1" applyFont="1" applyFill="1" applyBorder="1" applyAlignment="1">
      <x:alignment vertical="center" wrapText="1"/>
    </x:xf>
    <x:xf numFmtId="200" fontId="4" fillId="9" borderId="6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0" fontId="4" fillId="7" borderId="7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0" fontId="4" fillId="9" borderId="5" xfId="0" applyNumberFormat="1" applyFont="1" applyFill="1" applyBorder="1" applyAlignment="1">
      <x:alignment vertical="center"/>
    </x:xf>
    <x:xf numFmtId="200" fontId="4" fillId="9" borderId="5" xfId="0" applyNumberFormat="1" applyFont="1" applyFill="1" applyBorder="1" applyAlignment="1">
      <x:alignment vertical="center"/>
    </x:xf>
    <x:xf numFmtId="0" fontId="4" fillId="9" borderId="6" xfId="0" applyNumberFormat="1" applyFont="1" applyFill="1" applyBorder="1" applyAlignment="1">
      <x:alignment vertical="center"/>
    </x:xf>
    <x:xf numFmtId="200" fontId="4" fillId="9" borderId="6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5" xfId="0" applyNumberFormat="1" applyFont="1" applyFill="1" applyBorder="1"/>
    <x:xf numFmtId="200" fontId="4" fillId="0" borderId="6" xfId="0" applyNumberFormat="1" applyFont="1" applyFill="1" applyBorder="1"/>
    <x:xf numFmtId="201" fontId="4" fillId="0" borderId="6" xfId="0" applyNumberFormat="1" applyFont="1" applyFill="1" applyBorder="1"/>
    <x:xf numFmtId="201" fontId="4" fillId="0" borderId="7" xfId="0" applyNumberFormat="1" applyFont="1" applyFill="1" applyBorder="1"/>
    <x:xf numFmtId="201" fontId="4" fillId="0" borderId="5" xfId="0" applyNumberFormat="1" applyFont="1" applyFill="1" applyBorder="1" applyAlignment="1">
      <x:alignment wrapText="1"/>
    </x:xf>
    <x:xf numFmtId="200" fontId="4" fillId="0" borderId="6" xfId="0" applyNumberFormat="1" applyFont="1" applyFill="1" applyBorder="1" applyAlignment="1">
      <x:alignment wrapText="1"/>
    </x:xf>
    <x:xf numFmtId="201" fontId="4" fillId="0" borderId="6" xfId="0" applyNumberFormat="1" applyFont="1" applyFill="1" applyBorder="1" applyAlignment="1">
      <x:alignment wrapText="1"/>
    </x:xf>
    <x:xf numFmtId="201" fontId="4" fillId="0" borderId="7" xfId="0" applyNumberFormat="1" applyFont="1" applyFill="1" applyBorder="1" applyAlignment="1">
      <x:alignment wrapText="1"/>
    </x:xf>
    <x:xf numFmtId="201" fontId="4" fillId="0" borderId="5" xfId="0" applyNumberFormat="1" applyFont="1" applyFill="1" applyBorder="1" applyAlignment="1">
      <x:alignment vertical="center" wrapText="1"/>
    </x:xf>
    <x:xf numFmtId="201" fontId="4" fillId="0" borderId="6" xfId="0" applyNumberFormat="1" applyFont="1" applyFill="1" applyBorder="1" applyAlignment="1">
      <x:alignment vertical="center" wrapText="1"/>
    </x:xf>
    <x:xf numFmtId="201" fontId="4" fillId="0" borderId="7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/>
    <x:xf numFmtId="200" fontId="4" fillId="0" borderId="7" xfId="0" applyNumberFormat="1" applyFont="1" applyFill="1" applyBorder="1"/>
    <x:xf numFmtId="200" fontId="4" fillId="0" borderId="5" xfId="0" applyNumberFormat="1" applyFont="1" applyFill="1" applyBorder="1" applyAlignment="1">
      <x:alignment wrapText="1"/>
    </x:xf>
    <x:xf numFmtId="200" fontId="4" fillId="0" borderId="7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5a9143c0e4f61" /><Relationship Type="http://schemas.openxmlformats.org/officeDocument/2006/relationships/theme" Target="/xl/theme/theme1.xml" Id="R2ad4cb6fd76e4ae5" /><Relationship Type="http://schemas.openxmlformats.org/officeDocument/2006/relationships/sharedStrings" Target="/xl/sharedStrings.xml" Id="Rf66ac1a8a8b7425e" /><Relationship Type="http://schemas.openxmlformats.org/officeDocument/2006/relationships/worksheet" Target="/xl/worksheets/sheet1.xml" Id="R31a3a9b7c75f4a60" /><Relationship Type="http://schemas.openxmlformats.org/officeDocument/2006/relationships/worksheet" Target="/xl/worksheets/sheet2.xml" Id="Re7c89ed92c3a49c0" /><Relationship Type="http://schemas.openxmlformats.org/officeDocument/2006/relationships/worksheet" Target="/xl/worksheets/sheet3.xml" Id="Ra6ff6da0ba82487e" /><Relationship Type="http://schemas.openxmlformats.org/officeDocument/2006/relationships/worksheet" Target="/xl/worksheets/sheet4.xml" Id="R60fb2dbc37e94432" /><Relationship Type="http://schemas.openxmlformats.org/officeDocument/2006/relationships/worksheet" Target="/xl/worksheets/sheet5.xml" Id="Rd1fa7c58e4e44241" /><Relationship Type="http://schemas.microsoft.com/office/2017/10/relationships/person" Target="/xl/persons/person.xml" Id="Rab2c755113b84ed0" /></Relationships>
</file>

<file path=xl/persons/person.xml><?xml version="1.0" encoding="utf-8"?>
<xltc:personList xmlns:xltc="http://schemas.microsoft.com/office/spreadsheetml/2018/threadedcomments">
  <xltc:person displayName="Пользователь" id="{53601FA7-5759-43B5-8C1B-3A51D88D8724}"/>
  <xltc:person displayName="User" id="{4C78EEAF-68AD-4A0B-A45E-D68A031866A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5" dT="2026-08-17T09:26:05.779" personId="{53601FA7-5759-43B5-8C1B-3A51D88D8724}" id="{45A61014-0A0D-C1AA-71D0-5A78AF87958C}">
    <xltc:text>Конечное сальдо перенесено из текущего ПЛАНА ОПЛАТ и относится к 13.08.2026. Новый файл сальдо на 17.08.2026 не предоставлен. Значение ставится только в первой строке пары «Поставщик + Плательщик».</xltc:text>
  </xltc:threadedComment>
  <xltc:threadedComment ref="F5" dT="2026-08-17T09:26:05.78" personId="{53601FA7-5759-43B5-8C1B-3A51D88D8724}" id="{BCB0A3B6-6FAB-55F1-D999-8F9DBE2AFCB5}">
    <xltc:text>Номер заказа извлекается только из фрагментов со знаком «№». Неизвлечённые трёхзначные числа перечислены на листе «КОНТРОЛЬ».</xltc:text>
  </xltc:threadedComment>
  <xltc:threadedComment ref="H5" dT="2026-08-17T09:26:05.78" personId="{53601FA7-5759-43B5-8C1B-3A51D88D8724}" id="{314B691D-2A5F-5FB2-9CA8-5F07B824A3ED}">
    <xltc:text>Источник: столбец H листа «17.08.2026» файла ПРОИЗВОДСТВО Реестр на согласование  на 17 08 2026_.xlsx.</xltc:text>
  </xltc:threadedComment>
  <xltc:threadedComment ref="H5" dT="2026-08-18T06:48:38.692" personId="{4C78EEAF-68AD-4A0B-A45E-D68A031866A8}" id="{784DD8B6-0FDA-414B-A68E-B9E719773531}" parentId="{314B691D-2A5F-5FB2-9CA8-5F07B824A3ED}">
    <xltc:text>Обновление 18.08.2026: значения сверены с файлом ПРОИЗВОДСТВО Реестр на согласование  на 17 08 2026_(1).xlsx; расхождений по 120 строкам не выявлено.</xltc:text>
  </xltc:threadedComment>
  <xltc:threadedComment ref="I5" dT="2026-08-17T09:26:05.78" personId="{53601FA7-5759-43B5-8C1B-3A51D88D8724}" id="{0EA31162-A185-F288-4A18-791D1E9322B0}">
    <xltc:text>Источник: столбец I листа «17.08.2026» файла ПРОИЗВОДСТВО Реестр на согласование  на 17 08 2026_.xlsx.</xltc:text>
  </xltc:threadedComment>
  <xltc:threadedComment ref="I5" dT="2026-08-18T06:48:38.692" personId="{4C78EEAF-68AD-4A0B-A45E-D68A031866A8}" id="{A80CF845-6952-4F20-B853-D2417F8964EC}" parentId="{0EA31162-A185-F288-4A18-791D1E9322B0}">
    <xltc:text>Обновление 18.08.2026: значения сверены с файлом ПРОИЗВОДСТВО Реестр на согласование  на 17 08 2026_(1).xlsx; расхождений по 120 строкам не выявлено.</xltc:text>
  </xltc:threadedComment>
  <xltc:threadedComment ref="J5" dT="2026-08-17T09:26:05.78" personId="{53601FA7-5759-43B5-8C1B-3A51D88D8724}" id="{C45F20D1-73F5-525D-18A5-A540471E9D30}">
    <xltc:text>Сохранены значения столбца J реестра. Они не всегда равны «Сумма счёта − Сумма оплачено» из-за отдельных расчётов и валютных пересчётов.</xltc:text>
  </xltc:threadedComment>
  <xltc:threadedComment ref="J6" dT="2026-08-17T09:26:05.781" personId="{53601FA7-5759-43B5-8C1B-3A51D88D8724}" id="{53638B22-ACD4-5C03-E1B7-1AD542053190}">
    <xltc:text>Общий итог рассчитывается как сумма шести итогов разделов. Итоги разделов рассчитываются формулами по принадлежащим им строкам.</xltc:text>
  </xltc:threadedComment>
  <xltc:threadedComment ref="D8" dT="2026-08-17T09:26:05.788" personId="{53601FA7-5759-43B5-8C1B-3A51D88D8724}" id="{9CE3F0C1-B1CA-E59A-3FD1-AA7A1CF5F611}">
    <xltc:text>Источник: данные пользователя от 13.08.2026. Плательщик должен поставщику БК Алпроф; задолженность отражена отрицательным числом, красным цветом в скобках.</xltc:text>
  </xltc:threadedComment>
  <xltc:threadedComment ref="D10" dT="2026-08-17T09:26:05.789" personId="{53601FA7-5759-43B5-8C1B-3A51D88D8724}" id="{F5EFE2C3-984B-05D4-8004-4610549CA0B7}">
    <xltc:text>Источник: данные пользователя от 13.08.2026. Плательщик должен поставщику БК Алпроф; задолженность отражена отрицательным числом, красным цветом в скобках.</xltc:text>
  </xltc:threadedComment>
  <xltc:threadedComment ref="D95" dT="2026-08-17T09:26:05.789" personId="{53601FA7-5759-43B5-8C1B-3A51D88D8724}" id="{1D61263B-40E6-91F6-973E-0DF0B4DAAB95}">
    <xltc:text>Источник: данные пользователя от 13.08.2026. Плательщик должен поставщику БК Алпроф; задолженность отражена отрицательным числом, красным цветом в скобках.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f4dc101822941ca" /><Relationship Type="http://schemas.openxmlformats.org/officeDocument/2006/relationships/vmlDrawing" Target="/xl/drawings/vmldrawing.vml" Id="Rd4a2c94fba7b4a51" /><Relationship Type="http://schemas.microsoft.com/office/2017/10/relationships/threadedComment" Target="/xl/threadedcomments/threadedcomment.xml" Id="R33fd088b887545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3" hidden="0" customWidth="1"/>
    <x:col min="3" max="3" width="20" hidden="0" customWidth="1"/>
    <x:col min="4" max="4" width="18" hidden="0" customWidth="1"/>
    <x:col min="5" max="5" width="27" hidden="0" customWidth="1"/>
    <x:col min="6" max="6" width="14" hidden="0" customWidth="1"/>
    <x:col min="7" max="7" width="50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0" customHeight="1">
      <x:c r="A1" s="4" t="str">
        <x:v>ПЛАН ОПЛАТ на 17.08.2026 (по реестру на 17.08.2026)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9" t="str">
        <x:v>Дата</x:v>
      </x:c>
      <x:c r="B2" s="9" t="str">
        <x:v>17.08.2026</x:v>
      </x:c>
      <x:c r="C2" s="9"/>
      <x:c r="D2" s="9" t="str">
        <x:v>Строк плана</x:v>
      </x:c>
      <x:c r="E2" s="44" t="n">
        <x:f>COUNT(A8:A23,A25:A40,A42:A101,A103:A105,A107:A119,A121:A132)</x:f>
        <x:v>120</x:v>
      </x:c>
      <x:c r="F2" s="9"/>
      <x:c r="G2" s="9" t="str">
        <x:v>Сумма к оплате</x:v>
      </x:c>
      <x:c r="H2" s="43" t="n">
        <x:f>J6</x:f>
        <x:v>119769148.45099801</x:v>
      </x:c>
      <x:c r="I2" s="9"/>
      <x:c r="J2" s="9"/>
    </x:row>
    <x:row r="3" ht="28" customHeight="1">
      <x:c r="A3" s="9" t="str">
        <x:v>Счета</x:v>
      </x:c>
      <x:c r="B3" s="43" t="n">
        <x:f>SUM(H8:H23,H25:H40,H42:H101,H103:H105,H107:H119,H121:H132)</x:f>
        <x:v>135124684.904868</x:v>
      </x:c>
      <x:c r="C3" s="9"/>
      <x:c r="D3" s="9" t="str">
        <x:v>Оплачено</x:v>
      </x:c>
      <x:c r="E3" s="43" t="n">
        <x:f>SUM(I8:I23,I25:I40,I42:I101,I103:I105,I107:I119,I121:I132)</x:f>
        <x:v>17084886.45387</x:v>
      </x:c>
      <x:c r="F3" s="9"/>
      <x:c r="G3" s="9" t="str">
        <x:v>Сальдо заполнено</x:v>
      </x:c>
      <x:c r="H3" s="44" t="n">
        <x:f>COUNT(D8:D23,D25:D40,D42:D101,D103:D105,D107:D119,D121:D132)</x:f>
        <x:v>13</x:v>
      </x:c>
      <x:c r="I3" s="9" t="str">
        <x:v>Сальдо не заполнено</x:v>
      </x:c>
      <x:c r="J3" s="44" t="n">
        <x:f>E2-H3</x:f>
        <x:v>107</x:v>
      </x:c>
    </x:row>
    <x:row r="5" ht="42" customHeight="1">
      <x:c r="A5" s="15" t="str">
        <x:v>№п/п</x:v>
      </x:c>
      <x:c r="B5" s="15" t="str">
        <x:v>Наименование ПОСТАВЩИКА</x:v>
      </x:c>
      <x:c r="C5" s="15" t="str">
        <x:v>Наименование ПЛАТЕЛЬЩИКА</x:v>
      </x:c>
      <x:c r="D5" s="15" t="str">
        <x:v>Конечное сальдо на 13.08.26</x:v>
      </x:c>
      <x:c r="E5" s="15" t="str">
        <x:v>Наименование ПРОЕКТА</x:v>
      </x:c>
      <x:c r="F5" s="15" t="str">
        <x:v>Номер заказа</x:v>
      </x:c>
      <x:c r="G5" s="15" t="str">
        <x:v>Наименование ТМЦ</x:v>
      </x:c>
      <x:c r="H5" s="15" t="str">
        <x:v>Сумма СЧЕТА</x:v>
      </x:c>
      <x:c r="I5" s="15" t="str">
        <x:v>Сумма ОПЛАЧЕНО</x:v>
      </x:c>
      <x:c r="J5" s="15" t="str">
        <x:v>Сумма К ОПЛАТЕ</x:v>
      </x:c>
    </x:row>
    <x:row r="6" ht="28" customHeight="1">
      <x:c r="A6" s="20" t="str">
        <x:v>ОБЩИЙ ИТОГ ПО ВСЕМ РАЗДЕЛАМ — СУММА К ОПЛАТЕ</x:v>
      </x:c>
      <x:c r="B6" s="20"/>
      <x:c r="C6" s="20"/>
      <x:c r="D6" s="20"/>
      <x:c r="E6" s="20"/>
      <x:c r="F6" s="20"/>
      <x:c r="G6" s="20"/>
      <x:c r="H6" s="20"/>
      <x:c r="I6" s="20"/>
      <x:c r="J6" s="21" t="n">
        <x:f>SUM(J7,J24,J41,J102,J106,J120)</x:f>
        <x:v>119769148.45099801</x:v>
      </x:c>
    </x:row>
    <x:row r="7" ht="27" customHeight="1">
      <x:c r="A7" s="26" t="str">
        <x:v>ЗАДОЛЖЕННОСТЬ ПО ОТГРУЖЕННЫМ ТОВАРАМ</x:v>
      </x:c>
      <x:c r="B7" s="26"/>
      <x:c r="C7" s="26"/>
      <x:c r="D7" s="26"/>
      <x:c r="E7" s="26"/>
      <x:c r="F7" s="26"/>
      <x:c r="G7" s="26"/>
      <x:c r="H7" s="26"/>
      <x:c r="I7" s="27" t="str">
        <x:v>ИТОГО К ОПЛАТЕ</x:v>
      </x:c>
      <x:c r="J7" s="28" t="n">
        <x:f>SUM(J8:J23)</x:f>
        <x:v>14518178.152118</x:v>
      </x:c>
    </x:row>
    <x:row r="8" ht="39" customHeight="1">
      <x:c r="A8" s="40" t="n">
        <x:v>1</x:v>
      </x:c>
      <x:c r="B8" s="41" t="str">
        <x:v>БК-АЛПРОФ</x:v>
      </x:c>
      <x:c r="C8" s="41" t="str">
        <x:v>ВР логистик</x:v>
      </x:c>
      <x:c r="D8" s="36" t="n">
        <x:v>-6606744.55</x:v>
      </x:c>
      <x:c r="E8" s="41" t="str">
        <x:v>ПРЕОБРАЖЕНСКАЯ площадь 185 186</x:v>
      </x:c>
      <x:c r="F8" s="40"/>
      <x:c r="G8" s="41" t="str">
        <x:v>шина ал 6*130 7 тонн счет 965 ,оплата по готовности</x:v>
      </x:c>
      <x:c r="H8" s="42" t="n">
        <x:v>3269678.202</x:v>
      </x:c>
      <x:c r="I8" s="42" t="n">
        <x:v>545624.29887</x:v>
      </x:c>
      <x:c r="J8" s="39" t="n">
        <x:v>2724053.90313</x:v>
      </x:c>
    </x:row>
    <x:row r="9" ht="39" customHeight="1">
      <x:c r="A9" s="33" t="n">
        <x:v>2</x:v>
      </x:c>
      <x:c r="B9" s="32" t="str">
        <x:v>БК-АЛПРОФ</x:v>
      </x:c>
      <x:c r="C9" s="32" t="str">
        <x:v>ВР логистик</x:v>
      </x:c>
      <x:c r="D9" s="36"/>
      <x:c r="E9" s="32" t="str">
        <x:v>ПРЕОБРАЖЕНСКАЯ площадь 185 186</x:v>
      </x:c>
      <x:c r="F9" s="33"/>
      <x:c r="G9" s="32" t="str">
        <x:v>профиль 4178 4977 4997 счет 966 ,оплата по готовности</x:v>
      </x:c>
      <x:c r="H9" s="38" t="n">
        <x:v>3882668.28</x:v>
      </x:c>
      <x:c r="I9" s="38" t="n">
        <x:v>0</x:v>
      </x:c>
      <x:c r="J9" s="39" t="n">
        <x:v>3882668.28</x:v>
      </x:c>
    </x:row>
    <x:row r="10" ht="39" customHeight="1">
      <x:c r="A10" s="40" t="n">
        <x:v>3</x:v>
      </x:c>
      <x:c r="B10" s="41" t="str">
        <x:v>БК-АЛПРОФ</x:v>
      </x:c>
      <x:c r="C10" s="41" t="str">
        <x:v>НПК Технопрогресс</x:v>
      </x:c>
      <x:c r="D10" s="36" t="n">
        <x:v>-2065032.92</x:v>
      </x:c>
      <x:c r="E10" s="41" t="str">
        <x:v>№260 Сбер-Кут</x:v>
      </x:c>
      <x:c r="F10" s="40" t="str">
        <x:v>260</x:v>
      </x:c>
      <x:c r="G10" s="41" t="str">
        <x:v>профиль в ассортименте счет 1503</x:v>
      </x:c>
      <x:c r="H10" s="42" t="n">
        <x:v>3065063.8589879996</x:v>
      </x:c>
      <x:c r="I10" s="42" t="n">
        <x:v>1000000</x:v>
      </x:c>
      <x:c r="J10" s="39" t="n">
        <x:v>2065063.8589879996</x:v>
      </x:c>
    </x:row>
    <x:row r="11" ht="39" customHeight="1">
      <x:c r="A11" s="33" t="n">
        <x:v>4</x:v>
      </x:c>
      <x:c r="B11" s="32" t="str">
        <x:v>М Т Х</x:v>
      </x:c>
      <x:c r="C11" s="32" t="str">
        <x:v>НПК Технопрогресс</x:v>
      </x:c>
      <x:c r="D11" s="36" t="n">
        <x:v>-1580620.24</x:v>
      </x:c>
      <x:c r="E11" s="32" t="str">
        <x:v>ОДК САЛЮТ</x:v>
      </x:c>
      <x:c r="F11" s="33"/>
      <x:c r="G11" s="32" t="str">
        <x:v>шина медная 6*130 5100 кг отсрочка</x:v>
      </x:c>
      <x:c r="H11" s="38" t="n">
        <x:v>7080620.24</x:v>
      </x:c>
      <x:c r="I11" s="38" t="n">
        <x:v>5500000</x:v>
      </x:c>
      <x:c r="J11" s="39" t="n">
        <x:v>1580620.2400000002</x:v>
      </x:c>
    </x:row>
    <x:row r="12" ht="39" customHeight="1">
      <x:c r="A12" s="40" t="n">
        <x:v>5</x:v>
      </x:c>
      <x:c r="B12" s="41" t="str">
        <x:v>АЛЬФА-МЕТАЛЛ</x:v>
      </x:c>
      <x:c r="C12" s="41" t="str">
        <x:v>ТОКОПРОВОД</x:v>
      </x:c>
      <x:c r="D12" s="36"/>
      <x:c r="E12" s="41" t="str">
        <x:v>Цод СТИ Безуличный</x:v>
      </x:c>
      <x:c r="F12" s="40"/>
      <x:c r="G12" s="41" t="str">
        <x:v>лист алюминиевый ад1 7 мм, 10 листов счет №М-15/080726</x:v>
      </x:c>
      <x:c r="H12" s="42" t="n">
        <x:v>421236.72</x:v>
      </x:c>
      <x:c r="I12" s="42" t="n">
        <x:v>0</x:v>
      </x:c>
      <x:c r="J12" s="39" t="n">
        <x:v>421236.72</x:v>
      </x:c>
    </x:row>
    <x:row r="13" ht="39" customHeight="1">
      <x:c r="A13" s="33" t="n">
        <x:v>6</x:v>
      </x:c>
      <x:c r="B13" s="32" t="str">
        <x:v>АЛЬФА-МЕТАЛЛ</x:v>
      </x:c>
      <x:c r="C13" s="32" t="str">
        <x:v>ТОКОПРОВОД</x:v>
      </x:c>
      <x:c r="D13" s="36"/>
      <x:c r="E13" s="32" t="str">
        <x:v>№273 ЦОД СТИ Безуличный</x:v>
      </x:c>
      <x:c r="F13" s="33" t="str">
        <x:v>273</x:v>
      </x:c>
      <x:c r="G13" s="32" t="str">
        <x:v>Лист АД1Н 10мм=8шт по 597,8 сч№ М-54/170726 от 17.07.2026</x:v>
      </x:c>
      <x:c r="H13" s="38" t="n">
        <x:v>578670.4</x:v>
      </x:c>
      <x:c r="I13" s="38" t="n">
        <x:v>0</x:v>
      </x:c>
      <x:c r="J13" s="39" t="n">
        <x:v>578670.4</x:v>
      </x:c>
    </x:row>
    <x:row r="14" ht="39" customHeight="1">
      <x:c r="A14" s="40" t="n">
        <x:v>7</x:v>
      </x:c>
      <x:c r="B14" s="41" t="str">
        <x:v>АЛЬФА-МЕТАЛЛ</x:v>
      </x:c>
      <x:c r="C14" s="41" t="str">
        <x:v>ТОКОПРОВОД</x:v>
      </x:c>
      <x:c r="D14" s="36"/>
      <x:c r="E14" s="41" t="str">
        <x:v>№272 ЦОД СТИ Безуличный</x:v>
      </x:c>
      <x:c r="F14" s="40" t="str">
        <x:v>272</x:v>
      </x:c>
      <x:c r="G14" s="41" t="str">
        <x:v>Лист А5/АД1 7мм=12 шт по 508р Счёт №М-27/100826</x:v>
      </x:c>
      <x:c r="H14" s="42" t="n">
        <x:v>504161.34</x:v>
      </x:c>
      <x:c r="I14" s="42" t="n">
        <x:v>0</x:v>
      </x:c>
      <x:c r="J14" s="39" t="n">
        <x:v>504161.34</x:v>
      </x:c>
    </x:row>
    <x:row r="15" ht="39" customHeight="1">
      <x:c r="A15" s="33" t="n">
        <x:v>8</x:v>
      </x:c>
      <x:c r="B15" s="32" t="str">
        <x:v>ТЕХНОПЛАСТ33</x:v>
      </x:c>
      <x:c r="C15" s="32" t="str">
        <x:v>НПК Технопрогресс</x:v>
      </x:c>
      <x:c r="D15" s="36" t="n">
        <x:v>-129093.04</x:v>
      </x:c>
      <x:c r="E15" s="32" t="str">
        <x:v>Цод СТИ Безуличный,ВЕКТОР НИ</x:v>
      </x:c>
      <x:c r="F15" s="33"/>
      <x:c r="G15" s="32" t="str">
        <x:v>изоляторы стыка 4000А</x:v>
      </x:c>
      <x:c r="H15" s="38" t="n">
        <x:v>129093.04</x:v>
      </x:c>
      <x:c r="I15" s="38" t="n">
        <x:v>0</x:v>
      </x:c>
      <x:c r="J15" s="39" t="n">
        <x:v>129093.04</x:v>
      </x:c>
    </x:row>
    <x:row r="16" ht="39" customHeight="1">
      <x:c r="A16" s="40" t="n">
        <x:v>9</x:v>
      </x:c>
      <x:c r="B16" s="41" t="str">
        <x:v>ТЕХНОПЛАСТ33</x:v>
      </x:c>
      <x:c r="C16" s="41" t="str">
        <x:v>МК ИНЖИНИРИНГ</x:v>
      </x:c>
      <x:c r="D16" s="36" t="n">
        <x:v>-339307.32</x:v>
      </x:c>
      <x:c r="E16" s="41" t="str">
        <x:v>Цод СТИ Безуличный</x:v>
      </x:c>
      <x:c r="F16" s="40"/>
      <x:c r="G16" s="41" t="str">
        <x:v>изоляторы стыка 4000А , изоляторы АТСЦ</x:v>
      </x:c>
      <x:c r="H16" s="42" t="n">
        <x:v>339307.32</x:v>
      </x:c>
      <x:c r="I16" s="42" t="n">
        <x:v>0</x:v>
      </x:c>
      <x:c r="J16" s="39" t="n">
        <x:v>339307.32</x:v>
      </x:c>
    </x:row>
    <x:row r="17" ht="39" customHeight="1">
      <x:c r="A17" s="33" t="n">
        <x:v>10</x:v>
      </x:c>
      <x:c r="B17" s="32" t="str">
        <x:v>ТЕХНОПЛАСТ33</x:v>
      </x:c>
      <x:c r="C17" s="32" t="str">
        <x:v>ГЛАВПРОЕКТ</x:v>
      </x:c>
      <x:c r="D17" s="36" t="n">
        <x:v>-0.01</x:v>
      </x:c>
      <x:c r="E17" s="32" t="str">
        <x:v>№ 370 В Д Н Х , 358 Сарань 265 ЦОД СТИ</x:v>
      </x:c>
      <x:c r="F17" s="33" t="str">
        <x:v>370</x:v>
      </x:c>
      <x:c r="G17" s="32" t="str">
        <x:v>Изоляторы стыков счет 222</x:v>
      </x:c>
      <x:c r="H17" s="38" t="n">
        <x:v>159470.35</x:v>
      </x:c>
      <x:c r="I17" s="38" t="n">
        <x:v>0</x:v>
      </x:c>
      <x:c r="J17" s="39" t="n">
        <x:v>159470.35</x:v>
      </x:c>
    </x:row>
    <x:row r="18" ht="39" customHeight="1">
      <x:c r="A18" s="40" t="n">
        <x:v>11</x:v>
      </x:c>
      <x:c r="B18" s="41" t="str">
        <x:v>ТЕХНОПЛАСТ33</x:v>
      </x:c>
      <x:c r="C18" s="41" t="str">
        <x:v>ГЛАВПРОЕКТ</x:v>
      </x:c>
      <x:c r="D18" s="36"/>
      <x:c r="E18" s="41" t="str">
        <x:v>№374 Сбер-Кут IP55</x:v>
      </x:c>
      <x:c r="F18" s="40" t="str">
        <x:v>374</x:v>
      </x:c>
      <x:c r="G18" s="41" t="str">
        <x:v>Изоляторы стыков счет 233</x:v>
      </x:c>
      <x:c r="H18" s="42" t="n">
        <x:v>278840.2</x:v>
      </x:c>
      <x:c r="I18" s="42" t="n">
        <x:v>0</x:v>
      </x:c>
      <x:c r="J18" s="39" t="n">
        <x:v>278840.2</x:v>
      </x:c>
    </x:row>
    <x:row r="19" ht="39" customHeight="1">
      <x:c r="A19" s="33" t="n">
        <x:v>12</x:v>
      </x:c>
      <x:c r="B19" s="32" t="str">
        <x:v>ЦЕНТАВР</x:v>
      </x:c>
      <x:c r="C19" s="32" t="str">
        <x:v>ТОКОПРОВОД</x:v>
      </x:c>
      <x:c r="D19" s="36" t="n">
        <x:v>-55870</x:v>
      </x:c>
      <x:c r="E19" s="32" t="str">
        <x:v>Цод СТИ Безуличный</x:v>
      </x:c>
      <x:c r="F19" s="33"/>
      <x:c r="G19" s="32" t="str">
        <x:v>метизы для сборки болт м6*16</x:v>
      </x:c>
      <x:c r="H19" s="38" t="n">
        <x:v>131950</x:v>
      </x:c>
      <x:c r="I19" s="38" t="n">
        <x:v>0</x:v>
      </x:c>
      <x:c r="J19" s="39" t="n">
        <x:v>131950</x:v>
      </x:c>
    </x:row>
    <x:row r="20" ht="39" customHeight="1">
      <x:c r="A20" s="40" t="n">
        <x:v>13</x:v>
      </x:c>
      <x:c r="B20" s="41" t="str">
        <x:v>МИРОТЭК</x:v>
      </x:c>
      <x:c r="C20" s="41" t="str">
        <x:v>НПК Технопрогресс</x:v>
      </x:c>
      <x:c r="D20" s="36"/>
      <x:c r="E20" s="41" t="str">
        <x:v>ВЕКТОР</x:v>
      </x:c>
      <x:c r="F20" s="40"/>
      <x:c r="G20" s="41" t="str">
        <x:v>компаунд задолженность по акту сверки</x:v>
      </x:c>
      <x:c r="H20" s="42" t="n">
        <x:v>34620</x:v>
      </x:c>
      <x:c r="I20" s="42" t="n">
        <x:v>0</x:v>
      </x:c>
      <x:c r="J20" s="39" t="n">
        <x:v>34620</x:v>
      </x:c>
    </x:row>
    <x:row r="21" ht="39" customHeight="1">
      <x:c r="A21" s="33" t="n">
        <x:v>14</x:v>
      </x:c>
      <x:c r="B21" s="32" t="str">
        <x:v>МИРОТЭК</x:v>
      </x:c>
      <x:c r="C21" s="32" t="str">
        <x:v>МК ИНЖИНИРИНГ</x:v>
      </x:c>
      <x:c r="D21" s="36"/>
      <x:c r="E21" s="32" t="str">
        <x:v>№252 ВекторНи, №251 ВекторНи, №253 Вектор НИ</x:v>
      </x:c>
      <x:c r="F21" s="33" t="str">
        <x:v>252, 251, 253</x:v>
      </x:c>
      <x:c r="G21" s="32" t="str">
        <x:v>компаунд 2(из 40) тн 416,83 р/кг счет 285</x:v>
      </x:c>
      <x:c r="H21" s="38" t="n">
        <x:v>833660</x:v>
      </x:c>
      <x:c r="I21" s="38" t="n">
        <x:v>300000</x:v>
      </x:c>
      <x:c r="J21" s="39" t="n">
        <x:v>533660</x:v>
      </x:c>
    </x:row>
    <x:row r="22" ht="39" customHeight="1">
      <x:c r="A22" s="40" t="n">
        <x:v>15</x:v>
      </x:c>
      <x:c r="B22" s="41" t="str">
        <x:v>МИРОТЭК</x:v>
      </x:c>
      <x:c r="C22" s="41" t="str">
        <x:v>ГЛАВПРОЕКТ</x:v>
      </x:c>
      <x:c r="D22" s="36"/>
      <x:c r="E22" s="41" t="str">
        <x:v>№252 ВекторНи, №251 ВекторНи, №253 Вектор НИ</x:v>
      </x:c>
      <x:c r="F22" s="40" t="str">
        <x:v>252, 251, 253</x:v>
      </x:c>
      <x:c r="G22" s="41" t="str">
        <x:v>компаунд 2000 кг 416,83 р/кг счет 309</x:v>
      </x:c>
      <x:c r="H22" s="42" t="n">
        <x:v>833660</x:v>
      </x:c>
      <x:c r="I22" s="42" t="n">
        <x:v>312622.5</x:v>
      </x:c>
      <x:c r="J22" s="39" t="n">
        <x:v>521037.5</x:v>
      </x:c>
    </x:row>
    <x:row r="23" ht="39" customHeight="1">
      <x:c r="A23" s="33" t="n">
        <x:v>16</x:v>
      </x:c>
      <x:c r="B23" s="32" t="str">
        <x:v>ПромЦветМет</x:v>
      </x:c>
      <x:c r="C23" s="32" t="str">
        <x:v>ТОКОПРОВОД</x:v>
      </x:c>
      <x:c r="D23" s="36"/>
      <x:c r="E23" s="32" t="str">
        <x:v>№272 ЦОД СТИ Безуличный</x:v>
      </x:c>
      <x:c r="F23" s="33" t="str">
        <x:v>272</x:v>
      </x:c>
      <x:c r="G23" s="32" t="str">
        <x:v>Лист А5/АД1 10 мм=6 шт / 9 лист 1200 мм</x:v>
      </x:c>
      <x:c r="H23" s="38" t="n">
        <x:v>633725</x:v>
      </x:c>
      <x:c r="I23" s="38" t="n">
        <x:v>0</x:v>
      </x:c>
      <x:c r="J23" s="39" t="n">
        <x:v>633725</x:v>
      </x:c>
    </x:row>
    <x:row r="24" ht="27" customHeight="1">
      <x:c r="A24" s="26" t="str">
        <x:v>ПЛАНИРУЕМЫЕ ПЛАТЕЖИ ПО ЗАКАЗАМ В РАБОТЕ У ПОСТАВЩИКОВ</x:v>
      </x:c>
      <x:c r="B24" s="26"/>
      <x:c r="C24" s="26"/>
      <x:c r="D24" s="26"/>
      <x:c r="E24" s="26"/>
      <x:c r="F24" s="26"/>
      <x:c r="G24" s="26"/>
      <x:c r="H24" s="26"/>
      <x:c r="I24" s="27" t="str">
        <x:v>ИТОГО К ОПЛАТЕ</x:v>
      </x:c>
      <x:c r="J24" s="28" t="n">
        <x:f>SUM(J25:J40)</x:f>
        <x:v>37929122.02822</x:v>
      </x:c>
    </x:row>
    <x:row r="25" ht="39" customHeight="1">
      <x:c r="A25" s="40" t="n">
        <x:v>1</x:v>
      </x:c>
      <x:c r="B25" s="41" t="str">
        <x:v>ЗАВОД Н М Т</x:v>
      </x:c>
      <x:c r="C25" s="41" t="str">
        <x:v>ТОКОПРОВОД</x:v>
      </x:c>
      <x:c r="D25" s="36"/>
      <x:c r="E25" s="41" t="str">
        <x:v>№370 ВДНХ-69</x:v>
      </x:c>
      <x:c r="F25" s="40" t="str">
        <x:v>370</x:v>
      </x:c>
      <x:c r="G25" s="41" t="str">
        <x:v>шина медная 6*130 5,6 тн+3,5*70 500кг ОПЛАТА ПО ГОТОВНОСТИ</x:v>
      </x:c>
      <x:c r="H25" s="42" t="n">
        <x:v>8845000</x:v>
      </x:c>
      <x:c r="I25" s="42" t="n">
        <x:v>6500000</x:v>
      </x:c>
      <x:c r="J25" s="39" t="n">
        <x:v>2345000</x:v>
      </x:c>
    </x:row>
    <x:row r="26" ht="39" customHeight="1">
      <x:c r="A26" s="33" t="n">
        <x:v>2</x:v>
      </x:c>
      <x:c r="B26" s="32" t="str">
        <x:v>ЗАВОД Н М Т</x:v>
      </x:c>
      <x:c r="C26" s="32" t="str">
        <x:v>ТОКОПРОВОД</x:v>
      </x:c>
      <x:c r="D26" s="36"/>
      <x:c r="E26" s="32" t="str">
        <x:v>№370 ВДНХ-69</x:v>
      </x:c>
      <x:c r="F26" s="33" t="str">
        <x:v>370</x:v>
      </x:c>
      <x:c r="G26" s="32" t="str">
        <x:v>шина медная 6*130 4 тн ОПЛАТА ПО ГОТОВНОСТИ</x:v>
      </x:c>
      <x:c r="H26" s="38" t="n">
        <x:v>6000000</x:v>
      </x:c>
      <x:c r="I26" s="38" t="n">
        <x:v>0</x:v>
      </x:c>
      <x:c r="J26" s="39" t="n">
        <x:v>6000000</x:v>
      </x:c>
    </x:row>
    <x:row r="27" ht="39" customHeight="1">
      <x:c r="A27" s="40" t="n">
        <x:v>3</x:v>
      </x:c>
      <x:c r="B27" s="41" t="str">
        <x:v>БК-АЛПРОФ</x:v>
      </x:c>
      <x:c r="C27" s="41" t="str">
        <x:v>ТОКОПРОВОД</x:v>
      </x:c>
      <x:c r="D27" s="36"/>
      <x:c r="E27" s="41" t="str">
        <x:v>№351 Авиа РБ</x:v>
      </x:c>
      <x:c r="F27" s="40" t="str">
        <x:v>351</x:v>
      </x:c>
      <x:c r="G27" s="41" t="str">
        <x:v>профиль АД31 4178 АП 4977 счет 1935</x:v>
      </x:c>
      <x:c r="H27" s="42" t="n">
        <x:v>1033922.4536200002</x:v>
      </x:c>
      <x:c r="I27" s="42" t="n">
        <x:v>0</x:v>
      </x:c>
      <x:c r="J27" s="39" t="n">
        <x:v>1033922.4536200002</x:v>
      </x:c>
    </x:row>
    <x:row r="28" ht="39" customHeight="1">
      <x:c r="A28" s="33" t="n">
        <x:v>4</x:v>
      </x:c>
      <x:c r="B28" s="32" t="str">
        <x:v>БК-АЛПРОФ</x:v>
      </x:c>
      <x:c r="C28" s="32" t="str">
        <x:v>ТОКОПРОВОД</x:v>
      </x:c>
      <x:c r="D28" s="36"/>
      <x:c r="E28" s="32" t="str">
        <x:v>№351 Авиа РБ</x:v>
      </x:c>
      <x:c r="F28" s="33" t="str">
        <x:v>351</x:v>
      </x:c>
      <x:c r="G28" s="32" t="str">
        <x:v>Шина АД0 6*200 счет 1937</x:v>
      </x:c>
      <x:c r="H28" s="38" t="n">
        <x:v>1979968.4999999998</x:v>
      </x:c>
      <x:c r="I28" s="38" t="n">
        <x:v>0</x:v>
      </x:c>
      <x:c r="J28" s="39" t="n">
        <x:v>1979968.4999999998</x:v>
      </x:c>
    </x:row>
    <x:row r="29" ht="39" customHeight="1">
      <x:c r="A29" s="40" t="n">
        <x:v>5</x:v>
      </x:c>
      <x:c r="B29" s="41" t="str">
        <x:v>БК-АЛПРОФ</x:v>
      </x:c>
      <x:c r="C29" s="41" t="str">
        <x:v>ТОКОПРОВОД</x:v>
      </x:c>
      <x:c r="D29" s="36"/>
      <x:c r="E29" s="41" t="str">
        <x:v>№268 ЦОД СТИ Безуличный</x:v>
      </x:c>
      <x:c r="F29" s="40" t="str">
        <x:v>268</x:v>
      </x:c>
      <x:c r="G29" s="41" t="str">
        <x:v>Шина АД0 7*130 1100 кг счет 1936</x:v>
      </x:c>
      <x:c r="H29" s="42" t="n">
        <x:v>439992.99999999994</x:v>
      </x:c>
      <x:c r="I29" s="42" t="n">
        <x:v>0</x:v>
      </x:c>
      <x:c r="J29" s="39" t="n">
        <x:v>439992.99999999994</x:v>
      </x:c>
    </x:row>
    <x:row r="30" ht="39" customHeight="1">
      <x:c r="A30" s="33" t="n">
        <x:v>6</x:v>
      </x:c>
      <x:c r="B30" s="32" t="str">
        <x:v>БК-АЛПРОФ</x:v>
      </x:c>
      <x:c r="C30" s="32" t="str">
        <x:v>ТОКОПРОВОД</x:v>
      </x:c>
      <x:c r="D30" s="36"/>
      <x:c r="E30" s="32" t="str">
        <x:v>№358, 361 Сарань Ютонг</x:v>
      </x:c>
      <x:c r="F30" s="33" t="str">
        <x:v>358, 361</x:v>
      </x:c>
      <x:c r="G30" s="32" t="str">
        <x:v>шина АД0 6*200 2 тн 6*160 1,1тн по 447 счет 1938</x:v>
      </x:c>
      <x:c r="H30" s="38" t="n">
        <x:v>1363978.2999999998</x:v>
      </x:c>
      <x:c r="I30" s="38" t="n">
        <x:v>0</x:v>
      </x:c>
      <x:c r="J30" s="39" t="n">
        <x:v>1363978.2999999998</x:v>
      </x:c>
    </x:row>
    <x:row r="31" ht="39" customHeight="1">
      <x:c r="A31" s="40" t="n">
        <x:v>7</x:v>
      </x:c>
      <x:c r="B31" s="41" t="str">
        <x:v>БК-АЛПРОФ</x:v>
      </x:c>
      <x:c r="C31" s="41" t="str">
        <x:v>МК ИНЖИНИРИНГ</x:v>
      </x:c>
      <x:c r="D31" s="36"/>
      <x:c r="E31" s="41" t="str">
        <x:v>№374 Сбер-Кут IP55</x:v>
      </x:c>
      <x:c r="F31" s="40" t="str">
        <x:v>374</x:v>
      </x:c>
      <x:c r="G31" s="41" t="str">
        <x:v>Шина АД0 в ассортименте 13,5 тн по 447 счет 1939 предоплата 50%</x:v>
      </x:c>
      <x:c r="H31" s="42" t="n">
        <x:v>6007432.5</x:v>
      </x:c>
      <x:c r="I31" s="42" t="n">
        <x:v>0</x:v>
      </x:c>
      <x:c r="J31" s="39" t="n">
        <x:v>6007432.5</x:v>
      </x:c>
    </x:row>
    <x:row r="32" ht="39" customHeight="1">
      <x:c r="A32" s="33" t="n">
        <x:v>8</x:v>
      </x:c>
      <x:c r="B32" s="32" t="str">
        <x:v>БК-АЛПРОФ</x:v>
      </x:c>
      <x:c r="C32" s="32" t="str">
        <x:v>МК ИНЖИНИРИНГ</x:v>
      </x:c>
      <x:c r="D32" s="36"/>
      <x:c r="E32" s="32" t="str">
        <x:v>№374 Сбер-Кут IP55</x:v>
      </x:c>
      <x:c r="F32" s="33" t="str">
        <x:v>374</x:v>
      </x:c>
      <x:c r="G32" s="32" t="str">
        <x:v>Профиль АД31 в ассортименте счет 1971</x:v>
      </x:c>
      <x:c r="H32" s="38" t="n">
        <x:v>1805400</x:v>
      </x:c>
      <x:c r="I32" s="38" t="n">
        <x:v>0</x:v>
      </x:c>
      <x:c r="J32" s="39" t="n">
        <x:v>1805400</x:v>
      </x:c>
    </x:row>
    <x:row r="33" ht="39" customHeight="1">
      <x:c r="A33" s="40" t="n">
        <x:v>9</x:v>
      </x:c>
      <x:c r="B33" s="41" t="str">
        <x:v>БК-АЛПРОФ</x:v>
      </x:c>
      <x:c r="C33" s="41" t="str">
        <x:v>ТОКОПРОВОД</x:v>
      </x:c>
      <x:c r="D33" s="36"/>
      <x:c r="E33" s="41" t="str">
        <x:v>№375 Сбер-Кут IP68</x:v>
      </x:c>
      <x:c r="F33" s="40" t="str">
        <x:v>375</x:v>
      </x:c>
      <x:c r="G33" s="41" t="str">
        <x:v>шина АД0 в ассортименте 11 тн счет 1992</x:v>
      </x:c>
      <x:c r="H33" s="42" t="n">
        <x:v>5028443.5</x:v>
      </x:c>
      <x:c r="I33" s="42" t="n">
        <x:v>0</x:v>
      </x:c>
      <x:c r="J33" s="39" t="n">
        <x:v>5028443.5</x:v>
      </x:c>
    </x:row>
    <x:row r="34" ht="39" customHeight="1">
      <x:c r="A34" s="33" t="n">
        <x:v>10</x:v>
      </x:c>
      <x:c r="B34" s="32" t="str">
        <x:v>БК-АЛПРОФ</x:v>
      </x:c>
      <x:c r="C34" s="32" t="str">
        <x:v>ТОКОПРОВОД</x:v>
      </x:c>
      <x:c r="D34" s="36"/>
      <x:c r="E34" s="32" t="str">
        <x:v>№375 Сбер-Кут IP68</x:v>
      </x:c>
      <x:c r="F34" s="33" t="str">
        <x:v>375</x:v>
      </x:c>
      <x:c r="G34" s="32" t="str">
        <x:v>профиль АД31 в ассортименте счет 1993</x:v>
      </x:c>
      <x:c r="H34" s="38" t="n">
        <x:v>3020521.3596</x:v>
      </x:c>
      <x:c r="I34" s="38" t="n">
        <x:v>0</x:v>
      </x:c>
      <x:c r="J34" s="39" t="n">
        <x:v>3020521.3596</x:v>
      </x:c>
    </x:row>
    <x:row r="35" ht="39" customHeight="1">
      <x:c r="A35" s="40" t="n">
        <x:v>11</x:v>
      </x:c>
      <x:c r="B35" s="41" t="str">
        <x:v>БК-АЛПРОФ</x:v>
      </x:c>
      <x:c r="C35" s="41" t="str">
        <x:v>ТОКОПРОВОД</x:v>
      </x:c>
      <x:c r="D35" s="36"/>
      <x:c r="E35" s="41" t="str">
        <x:v>№378 Сбер-Кут IP68</x:v>
      </x:c>
      <x:c r="F35" s="40" t="str">
        <x:v>378</x:v>
      </x:c>
      <x:c r="G35" s="41" t="str">
        <x:v>шина АД0 в ассортименте 5 тн счет 1991</x:v>
      </x:c>
      <x:c r="H35" s="42" t="n">
        <x:v>2180475.5</x:v>
      </x:c>
      <x:c r="I35" s="42" t="n">
        <x:v>0</x:v>
      </x:c>
      <x:c r="J35" s="39" t="n">
        <x:v>2180475.5</x:v>
      </x:c>
    </x:row>
    <x:row r="36" ht="39" customHeight="1">
      <x:c r="A36" s="33" t="n">
        <x:v>12</x:v>
      </x:c>
      <x:c r="B36" s="32" t="str">
        <x:v>БК-АЛПРОФ</x:v>
      </x:c>
      <x:c r="C36" s="32" t="str">
        <x:v>МК ИНЖИНИРИНГ</x:v>
      </x:c>
      <x:c r="D36" s="36"/>
      <x:c r="E36" s="32" t="str">
        <x:v>№362 Сарань Ютонг</x:v>
      </x:c>
      <x:c r="F36" s="33" t="str">
        <x:v>362</x:v>
      </x:c>
      <x:c r="G36" s="32" t="str">
        <x:v>шина АД0 6*75 500 кг по 447 счет 1969</x:v>
      </x:c>
      <x:c r="H36" s="38" t="n">
        <x:v>222497.5</x:v>
      </x:c>
      <x:c r="I36" s="38" t="n">
        <x:v>0</x:v>
      </x:c>
      <x:c r="J36" s="39" t="n">
        <x:v>222497.5</x:v>
      </x:c>
    </x:row>
    <x:row r="37" ht="39" customHeight="1">
      <x:c r="A37" s="40" t="n">
        <x:v>13</x:v>
      </x:c>
      <x:c r="B37" s="41" t="str">
        <x:v>ЦОМ МОСТ-1 ООО</x:v>
      </x:c>
      <x:c r="C37" s="41" t="str">
        <x:v>ГЛАВПРОЕКТ спец</x:v>
      </x:c>
      <x:c r="D37" s="36"/>
      <x:c r="E37" s="41" t="str">
        <x:v>СБЕР 359 365, ЦОД СТИ 268</x:v>
      </x:c>
      <x:c r="F37" s="40"/>
      <x:c r="G37" s="41" t="str">
        <x:v>Лист ал 2 мм 60 листов по 540 р/кгсчет 14696</x:v>
      </x:c>
      <x:c r="H37" s="42" t="n">
        <x:v>724199.32</x:v>
      </x:c>
      <x:c r="I37" s="42" t="n">
        <x:v>0</x:v>
      </x:c>
      <x:c r="J37" s="39" t="n">
        <x:v>724199.32</x:v>
      </x:c>
    </x:row>
    <x:row r="38" ht="39" customHeight="1">
      <x:c r="A38" s="33" t="n">
        <x:v>14</x:v>
      </x:c>
      <x:c r="B38" s="32" t="str">
        <x:v>М Т Х</x:v>
      </x:c>
      <x:c r="C38" s="32" t="str">
        <x:v>МК ИНЖИНИРИНГ</x:v>
      </x:c>
      <x:c r="D38" s="36"/>
      <x:c r="E38" s="32" t="str">
        <x:v>Светлые горы</x:v>
      </x:c>
      <x:c r="F38" s="33"/>
      <x:c r="G38" s="32" t="str">
        <x:v>шина медная 6*160,6*200,3,5*70 счет СД4091</x:v>
      </x:c>
      <x:c r="H38" s="38" t="n">
        <x:v>2351251.71</x:v>
      </x:c>
      <x:c r="I38" s="38" t="n">
        <x:v>0</x:v>
      </x:c>
      <x:c r="J38" s="39" t="n">
        <x:v>2351251.71</x:v>
      </x:c>
    </x:row>
    <x:row r="39" ht="39" customHeight="1">
      <x:c r="A39" s="40" t="n">
        <x:v>15</x:v>
      </x:c>
      <x:c r="B39" s="41" t="str">
        <x:v>М Т Х</x:v>
      </x:c>
      <x:c r="C39" s="41" t="str">
        <x:v>ТОКОПРОВОД</x:v>
      </x:c>
      <x:c r="D39" s="36"/>
      <x:c r="E39" s="41" t="str">
        <x:v>Светлые горы</x:v>
      </x:c>
      <x:c r="F39" s="40"/>
      <x:c r="G39" s="41" t="str">
        <x:v>шина медная 6*160,6*200,3,5*70 счет СД4091</x:v>
      </x:c>
      <x:c r="H39" s="42" t="n">
        <x:v>2311255.23</x:v>
      </x:c>
      <x:c r="I39" s="42" t="n">
        <x:v>0</x:v>
      </x:c>
      <x:c r="J39" s="39" t="n">
        <x:v>2311255.23</x:v>
      </x:c>
    </x:row>
    <x:row r="40" ht="39" customHeight="1">
      <x:c r="A40" s="33" t="n">
        <x:v>16</x:v>
      </x:c>
      <x:c r="B40" s="32" t="str">
        <x:v>МАШИНЕРИ групп</x:v>
      </x:c>
      <x:c r="C40" s="32" t="str">
        <x:v>ТОКОПРОВОД</x:v>
      </x:c>
      <x:c r="D40" s="36"/>
      <x:c r="E40" s="32" t="str">
        <x:v>ТАБЛЕТКА Б</x:v>
      </x:c>
      <x:c r="F40" s="33"/>
      <x:c r="G40" s="32" t="str">
        <x:v>страт профиля и крепеж счет 5930 , предоплата 50%</x:v>
      </x:c>
      <x:c r="H40" s="38" t="n">
        <x:v>2229566.31</x:v>
      </x:c>
      <x:c r="I40" s="38" t="n">
        <x:v>1114783.155</x:v>
      </x:c>
      <x:c r="J40" s="39" t="n">
        <x:v>1114783.155</x:v>
      </x:c>
    </x:row>
    <x:row r="41" ht="27" customHeight="1">
      <x:c r="A41" s="26" t="str">
        <x:v>ПОТРЕБНОСТЬ ПО ПРОЕКТАМ</x:v>
      </x:c>
      <x:c r="B41" s="26"/>
      <x:c r="C41" s="26"/>
      <x:c r="D41" s="26"/>
      <x:c r="E41" s="26"/>
      <x:c r="F41" s="26"/>
      <x:c r="G41" s="26"/>
      <x:c r="H41" s="26"/>
      <x:c r="I41" s="27" t="str">
        <x:v>ИТОГО К ОПЛАТЕ</x:v>
      </x:c>
      <x:c r="J41" s="28" t="n">
        <x:f>SUM(J42:J101)</x:f>
        <x:v>52989061.37066001</x:v>
      </x:c>
    </x:row>
    <x:row r="42" ht="39" customHeight="1">
      <x:c r="A42" s="40" t="n">
        <x:v>1</x:v>
      </x:c>
      <x:c r="B42" s="41" t="str">
        <x:v>В Л К З</x:v>
      </x:c>
      <x:c r="C42" s="41" t="str">
        <x:v>ТОКОПРОВОД</x:v>
      </x:c>
      <x:c r="D42" s="36"/>
      <x:c r="E42" s="41" t="str">
        <x:v>№379 Сбер РА В17</x:v>
      </x:c>
      <x:c r="F42" s="40" t="str">
        <x:v>379</x:v>
      </x:c>
      <x:c r="G42" s="41" t="str">
        <x:v>стренга медная 200 кг</x:v>
      </x:c>
      <x:c r="H42" s="42" t="n">
        <x:v>320000</x:v>
      </x:c>
      <x:c r="I42" s="42" t="n">
        <x:v>0</x:v>
      </x:c>
      <x:c r="J42" s="39" t="n">
        <x:v>320000</x:v>
      </x:c>
    </x:row>
    <x:row r="43" ht="39" customHeight="1">
      <x:c r="A43" s="33" t="n">
        <x:v>2</x:v>
      </x:c>
      <x:c r="B43" s="32" t="str">
        <x:v>О Ц П Н</x:v>
      </x:c>
      <x:c r="C43" s="32" t="str">
        <x:v>МК ИНЖИНИРИНГ</x:v>
      </x:c>
      <x:c r="D43" s="36"/>
      <x:c r="E43" s="32" t="str">
        <x:v>№252 ВекторНи, №251 ВекторНи</x:v>
      </x:c>
      <x:c r="F43" s="33" t="str">
        <x:v>252, 251</x:v>
      </x:c>
      <x:c r="G43" s="32" t="str">
        <x:v>порошок напыления ПОС ТР 63-25 160 кг,</x:v>
      </x:c>
      <x:c r="H43" s="38" t="n">
        <x:v>957440</x:v>
      </x:c>
      <x:c r="I43" s="38" t="n">
        <x:v>0</x:v>
      </x:c>
      <x:c r="J43" s="39" t="n">
        <x:v>957440</x:v>
      </x:c>
    </x:row>
    <x:row r="44" ht="39" customHeight="1">
      <x:c r="A44" s="40" t="n">
        <x:v>3</x:v>
      </x:c>
      <x:c r="B44" s="41" t="str">
        <x:v>АЛЬФА-МЕТАЛЛ</x:v>
      </x:c>
      <x:c r="C44" s="41" t="str">
        <x:v>ТОКОПРОВОД</x:v>
      </x:c>
      <x:c r="D44" s="36"/>
      <x:c r="E44" s="41" t="str">
        <x:v>№272 ЦОД СТИ Безуличный</x:v>
      </x:c>
      <x:c r="F44" s="40" t="str">
        <x:v>272</x:v>
      </x:c>
      <x:c r="G44" s="41" t="str">
        <x:v>Лист А5/АД1 7мм=14(из 26) шт по 508 сч№ М-55/170726 от 17.07.2026</x:v>
      </x:c>
      <x:c r="H44" s="42" t="n">
        <x:v>675444</x:v>
      </x:c>
      <x:c r="I44" s="42" t="n">
        <x:v>0</x:v>
      </x:c>
      <x:c r="J44" s="39" t="n">
        <x:v>675444</x:v>
      </x:c>
    </x:row>
    <x:row r="45" ht="39" customHeight="1">
      <x:c r="A45" s="33" t="n">
        <x:v>4</x:v>
      </x:c>
      <x:c r="B45" s="32" t="str">
        <x:v>ПромЦветМет//МОСТ</x:v>
      </x:c>
      <x:c r="C45" s="32" t="str">
        <x:v>ГЛАВПРОЕКТ</x:v>
      </x:c>
      <x:c r="D45" s="36"/>
      <x:c r="E45" s="32" t="str">
        <x:v>№355 Технопарк Алкон Север</x:v>
      </x:c>
      <x:c r="F45" s="33" t="str">
        <x:v>355</x:v>
      </x:c>
      <x:c r="G45" s="32" t="str">
        <x:v>листы ал 3 мм 10 шт</x:v>
      </x:c>
      <x:c r="H45" s="38" t="n">
        <x:v>195120</x:v>
      </x:c>
      <x:c r="I45" s="38" t="n">
        <x:v>0</x:v>
      </x:c>
      <x:c r="J45" s="39" t="n">
        <x:v>195120</x:v>
      </x:c>
    </x:row>
    <x:row r="46" ht="39" customHeight="1">
      <x:c r="A46" s="40" t="n">
        <x:v>5</x:v>
      </x:c>
      <x:c r="B46" s="41" t="str">
        <x:v>ЦОМ МОСТ-1 ООО</x:v>
      </x:c>
      <x:c r="C46" s="41" t="str">
        <x:v>МК ИНЖИНИРИНГ</x:v>
      </x:c>
      <x:c r="D46" s="36"/>
      <x:c r="E46" s="41" t="str">
        <x:v>№252 ВекторНи, №253 ВекторНи</x:v>
      </x:c>
      <x:c r="F46" s="40" t="str">
        <x:v>252, 253</x:v>
      </x:c>
      <x:c r="G46" s="41" t="str">
        <x:v>Лист ал 2 мм 60 листов по 542 р/кг счет 14696</x:v>
      </x:c>
      <x:c r="H46" s="42" t="n">
        <x:v>764640</x:v>
      </x:c>
      <x:c r="I46" s="42" t="n">
        <x:v>0</x:v>
      </x:c>
      <x:c r="J46" s="39" t="n">
        <x:v>764640</x:v>
      </x:c>
    </x:row>
    <x:row r="47" ht="39" customHeight="1">
      <x:c r="A47" s="33" t="n">
        <x:v>6</x:v>
      </x:c>
      <x:c r="B47" s="32" t="str">
        <x:v>ПромЦветМет//МОСТ //АЛЬФА</x:v>
      </x:c>
      <x:c r="C47" s="32" t="str">
        <x:v>ГЛАВПРОЕКТ</x:v>
      </x:c>
      <x:c r="D47" s="36"/>
      <x:c r="E47" s="32" t="str">
        <x:v>№281 Цод СТИ Безуличный</x:v>
      </x:c>
      <x:c r="F47" s="33" t="str">
        <x:v>281</x:v>
      </x:c>
      <x:c r="G47" s="32" t="str">
        <x:v>лист АМг3М 2мм=35 л, 3мм=20 л</x:v>
      </x:c>
      <x:c r="H47" s="38" t="n">
        <x:v>826517</x:v>
      </x:c>
      <x:c r="I47" s="38" t="n">
        <x:v>0</x:v>
      </x:c>
      <x:c r="J47" s="39" t="n">
        <x:v>826517</x:v>
      </x:c>
    </x:row>
    <x:row r="48" ht="39" customHeight="1">
      <x:c r="A48" s="40" t="n">
        <x:v>7</x:v>
      </x:c>
      <x:c r="B48" s="41" t="str">
        <x:v>ЭКОВЕРМ</x:v>
      </x:c>
      <x:c r="C48" s="41" t="str">
        <x:v>ГЛАВПРОЕКТ</x:v>
      </x:c>
      <x:c r="D48" s="36" t="n">
        <x:v>63532</x:v>
      </x:c>
      <x:c r="E48" s="41" t="str">
        <x:v>№374 Сбер-Кут IP55</x:v>
      </x:c>
      <x:c r="F48" s="40" t="str">
        <x:v>374</x:v>
      </x:c>
      <x:c r="G48" s="41" t="str">
        <x:v>файер барьеры счет 176</x:v>
      </x:c>
      <x:c r="H48" s="42" t="n">
        <x:v>776324</x:v>
      </x:c>
      <x:c r="I48" s="42" t="n">
        <x:v>0</x:v>
      </x:c>
      <x:c r="J48" s="39" t="n">
        <x:v>776324</x:v>
      </x:c>
    </x:row>
    <x:row r="49" ht="39" customHeight="1">
      <x:c r="A49" s="33" t="n">
        <x:v>8</x:v>
      </x:c>
      <x:c r="B49" s="32" t="str">
        <x:v>ЦЕНТАВР</x:v>
      </x:c>
      <x:c r="C49" s="32" t="str">
        <x:v>ТОКОПРОВОД</x:v>
      </x:c>
      <x:c r="D49" s="36"/>
      <x:c r="E49" s="32" t="str">
        <x:v>№374 Сбер-Кут IP55</x:v>
      </x:c>
      <x:c r="F49" s="33" t="str">
        <x:v>374</x:v>
      </x:c>
      <x:c r="G49" s="32" t="str">
        <x:v>метизы для сборки счет 61636</x:v>
      </x:c>
      <x:c r="H49" s="38" t="n">
        <x:v>99970</x:v>
      </x:c>
      <x:c r="I49" s="38" t="n">
        <x:v>0</x:v>
      </x:c>
      <x:c r="J49" s="39" t="n">
        <x:v>99970</x:v>
      </x:c>
    </x:row>
    <x:row r="50" ht="39" customHeight="1">
      <x:c r="A50" s="40" t="n">
        <x:v>9</x:v>
      </x:c>
      <x:c r="B50" s="41" t="str">
        <x:v>ПромЦветМет//МОСТ //АЛЬФА</x:v>
      </x:c>
      <x:c r="C50" s="41" t="str">
        <x:v>ТОКОПРОВОД</x:v>
      </x:c>
      <x:c r="D50" s="36"/>
      <x:c r="E50" s="41" t="str">
        <x:v>№374 Сбер-Кут IP55</x:v>
      </x:c>
      <x:c r="F50" s="40" t="str">
        <x:v>374</x:v>
      </x:c>
      <x:c r="G50" s="41" t="str">
        <x:v>лист АМг3М 2мм=55 л, 3 мм = 28 л</x:v>
      </x:c>
      <x:c r="H50" s="42" t="n">
        <x:v>1302890</x:v>
      </x:c>
      <x:c r="I50" s="42" t="n">
        <x:v>0</x:v>
      </x:c>
      <x:c r="J50" s="39" t="n">
        <x:v>1302890</x:v>
      </x:c>
    </x:row>
    <x:row r="51" ht="39" customHeight="1">
      <x:c r="A51" s="33" t="n">
        <x:v>10</x:v>
      </x:c>
      <x:c r="B51" s="32" t="str">
        <x:v>ПромЦветМет//МОСТ //АЛЬФА</x:v>
      </x:c>
      <x:c r="C51" s="32" t="str">
        <x:v>ТОКОПРОВОД</x:v>
      </x:c>
      <x:c r="D51" s="36"/>
      <x:c r="E51" s="32" t="str">
        <x:v>№374 Сбер-Кут IP55</x:v>
      </x:c>
      <x:c r="F51" s="33" t="str">
        <x:v>374</x:v>
      </x:c>
      <x:c r="G51" s="32" t="str">
        <x:v>лист А5М 6мм=5 л,</x:v>
      </x:c>
      <x:c r="H51" s="38" t="n">
        <x:v>183750</x:v>
      </x:c>
      <x:c r="I51" s="38" t="n">
        <x:v>0</x:v>
      </x:c>
      <x:c r="J51" s="39" t="n">
        <x:v>183750</x:v>
      </x:c>
    </x:row>
    <x:row r="52" ht="39" customHeight="1">
      <x:c r="A52" s="40" t="n">
        <x:v>11</x:v>
      </x:c>
      <x:c r="B52" s="41" t="str">
        <x:v>ПромЦветМет//МОСТ //АЛЬФА</x:v>
      </x:c>
      <x:c r="C52" s="41" t="str">
        <x:v>ТОКОПРОВОД</x:v>
      </x:c>
      <x:c r="D52" s="36"/>
      <x:c r="E52" s="41" t="str">
        <x:v>№375 Сбер-Кут IP68</x:v>
      </x:c>
      <x:c r="F52" s="40" t="str">
        <x:v>375</x:v>
      </x:c>
      <x:c r="G52" s="41" t="str">
        <x:v>лист АМг3М 2мм=80 л,</x:v>
      </x:c>
      <x:c r="H52" s="42" t="n">
        <x:v>1066720</x:v>
      </x:c>
      <x:c r="I52" s="42" t="n">
        <x:v>0</x:v>
      </x:c>
      <x:c r="J52" s="39" t="n">
        <x:v>1066720</x:v>
      </x:c>
    </x:row>
    <x:row r="53" ht="39" customHeight="1">
      <x:c r="A53" s="33" t="n">
        <x:v>12</x:v>
      </x:c>
      <x:c r="B53" s="32" t="str">
        <x:v>ЭКОВЕРМ</x:v>
      </x:c>
      <x:c r="C53" s="32" t="str">
        <x:v>ГЛАВПРОЕКТ</x:v>
      </x:c>
      <x:c r="D53" s="36"/>
      <x:c r="E53" s="32" t="str">
        <x:v>№375 Сбер-Кут IP68</x:v>
      </x:c>
      <x:c r="F53" s="33" t="str">
        <x:v>375</x:v>
      </x:c>
      <x:c r="G53" s="32" t="str">
        <x:v>файер барьеры счет 181</x:v>
      </x:c>
      <x:c r="H53" s="38" t="n">
        <x:v>458402</x:v>
      </x:c>
      <x:c r="I53" s="38" t="n">
        <x:v>0</x:v>
      </x:c>
      <x:c r="J53" s="39" t="n">
        <x:v>458402</x:v>
      </x:c>
    </x:row>
    <x:row r="54" ht="39" customHeight="1">
      <x:c r="A54" s="40" t="n">
        <x:v>13</x:v>
      </x:c>
      <x:c r="B54" s="41" t="str">
        <x:v>ТЕХНОПЛАСТ33</x:v>
      </x:c>
      <x:c r="C54" s="41" t="str">
        <x:v>ГЛАВПРОЕКТ</x:v>
      </x:c>
      <x:c r="D54" s="36"/>
      <x:c r="E54" s="41" t="str">
        <x:v>№375 Сбер-Кут IP68</x:v>
      </x:c>
      <x:c r="F54" s="40" t="str">
        <x:v>375</x:v>
      </x:c>
      <x:c r="G54" s="41" t="str">
        <x:v>пластиковые изоляторы стыка счет 243</x:v>
      </x:c>
      <x:c r="H54" s="42" t="n">
        <x:v>427200</x:v>
      </x:c>
      <x:c r="I54" s="42" t="n">
        <x:v>0</x:v>
      </x:c>
      <x:c r="J54" s="39" t="n">
        <x:v>427200</x:v>
      </x:c>
    </x:row>
    <x:row r="55" ht="39" customHeight="1">
      <x:c r="A55" s="33" t="n">
        <x:v>14</x:v>
      </x:c>
      <x:c r="B55" s="32" t="str">
        <x:v>ЦЕНТАВР</x:v>
      </x:c>
      <x:c r="C55" s="32" t="str">
        <x:v>ТОКОПРОВОД</x:v>
      </x:c>
      <x:c r="D55" s="36"/>
      <x:c r="E55" s="32" t="str">
        <x:v>№375 Сбер-Кут IP68</x:v>
      </x:c>
      <x:c r="F55" s="33" t="str">
        <x:v>375</x:v>
      </x:c>
      <x:c r="G55" s="32" t="str">
        <x:v>метизы для сборки счет 61642</x:v>
      </x:c>
      <x:c r="H55" s="38" t="n">
        <x:v>80785</x:v>
      </x:c>
      <x:c r="I55" s="38" t="n">
        <x:v>0</x:v>
      </x:c>
      <x:c r="J55" s="39" t="n">
        <x:v>80785</x:v>
      </x:c>
    </x:row>
    <x:row r="56" ht="39" customHeight="1">
      <x:c r="A56" s="40" t="n">
        <x:v>15</x:v>
      </x:c>
      <x:c r="B56" s="41" t="str">
        <x:v>ПромЦветМет//МОСТ //АЛЬФА</x:v>
      </x:c>
      <x:c r="C56" s="41" t="str">
        <x:v>ТОКОПРОВОД</x:v>
      </x:c>
      <x:c r="D56" s="36"/>
      <x:c r="E56" s="41" t="str">
        <x:v>№378 Сбер-Кут IP68</x:v>
      </x:c>
      <x:c r="F56" s="40" t="str">
        <x:v>378</x:v>
      </x:c>
      <x:c r="G56" s="41" t="str">
        <x:v>лист АМг3М 2мм=81 л,</x:v>
      </x:c>
      <x:c r="H56" s="42" t="n">
        <x:v>1080054</x:v>
      </x:c>
      <x:c r="I56" s="42" t="n">
        <x:v>0</x:v>
      </x:c>
      <x:c r="J56" s="39" t="n">
        <x:v>1080054</x:v>
      </x:c>
    </x:row>
    <x:row r="57" ht="39" customHeight="1">
      <x:c r="A57" s="33" t="n">
        <x:v>16</x:v>
      </x:c>
      <x:c r="B57" s="32" t="str">
        <x:v>ЦЕНТАВР</x:v>
      </x:c>
      <x:c r="C57" s="32" t="str">
        <x:v>ТОКОПРОВОД</x:v>
      </x:c>
      <x:c r="D57" s="36"/>
      <x:c r="E57" s="32" t="str">
        <x:v>№378 Сбер-Кут IP68</x:v>
      </x:c>
      <x:c r="F57" s="33" t="str">
        <x:v>378</x:v>
      </x:c>
      <x:c r="G57" s="32" t="str">
        <x:v>метизы для сборки счет 61649</x:v>
      </x:c>
      <x:c r="H57" s="38" t="n">
        <x:v>9900</x:v>
      </x:c>
      <x:c r="I57" s="38" t="n">
        <x:v>0</x:v>
      </x:c>
      <x:c r="J57" s="39" t="n">
        <x:v>9900</x:v>
      </x:c>
    </x:row>
    <x:row r="58" ht="39" customHeight="1">
      <x:c r="A58" s="40" t="n">
        <x:v>17</x:v>
      </x:c>
      <x:c r="B58" s="41" t="str">
        <x:v>МИРОТЭК</x:v>
      </x:c>
      <x:c r="C58" s="41" t="str">
        <x:v>ТОКОПРОВОД</x:v>
      </x:c>
      <x:c r="D58" s="36"/>
      <x:c r="E58" s="41" t="str">
        <x:v>№378 Сбер-Кут IP68</x:v>
      </x:c>
      <x:c r="F58" s="40" t="str">
        <x:v>378</x:v>
      </x:c>
      <x:c r="G58" s="41" t="str">
        <x:v>компунд 6500 кг</x:v>
      </x:c>
      <x:c r="H58" s="42" t="n">
        <x:v>2709395</x:v>
      </x:c>
      <x:c r="I58" s="42" t="n">
        <x:v>0</x:v>
      </x:c>
      <x:c r="J58" s="39" t="n">
        <x:v>2709395</x:v>
      </x:c>
    </x:row>
    <x:row r="59" ht="39" customHeight="1">
      <x:c r="A59" s="33" t="n">
        <x:v>18</x:v>
      </x:c>
      <x:c r="B59" s="32" t="str">
        <x:v>О Ц П Н</x:v>
      </x:c>
      <x:c r="C59" s="32" t="str">
        <x:v>ТОКОПРОВОД</x:v>
      </x:c>
      <x:c r="D59" s="36"/>
      <x:c r="E59" s="32" t="str">
        <x:v>№263, 264, 266, 267 Цод СТИ Безуличный</x:v>
      </x:c>
      <x:c r="F59" s="33" t="str">
        <x:v>263, 264, 266, 267</x:v>
      </x:c>
      <x:c r="G59" s="32" t="str">
        <x:v>порошок напыления ПОС ТР 63-25 450 кг, ( 50 кг = 300 тыс )</x:v>
      </x:c>
      <x:c r="H59" s="38" t="n">
        <x:v>2814500</x:v>
      </x:c>
      <x:c r="I59" s="38" t="n">
        <x:v>1026500</x:v>
      </x:c>
      <x:c r="J59" s="39" t="n">
        <x:v>1788000</x:v>
      </x:c>
    </x:row>
    <x:row r="60" ht="39" customHeight="1">
      <x:c r="A60" s="40" t="n">
        <x:v>19</x:v>
      </x:c>
      <x:c r="B60" s="41" t="str">
        <x:v>Э Т М //рус свет</x:v>
      </x:c>
      <x:c r="C60" s="41" t="str">
        <x:v>ГЛАВПРОЕКТ</x:v>
      </x:c>
      <x:c r="D60" s="36"/>
      <x:c r="E60" s="41" t="str">
        <x:v>№265, 268 Цод СТИ Безуличный</x:v>
      </x:c>
      <x:c r="F60" s="40" t="str">
        <x:v>265, 268</x:v>
      </x:c>
      <x:c r="G60" s="41" t="str">
        <x:v>сальники для КОМ в ассортименте</x:v>
      </x:c>
      <x:c r="H60" s="42" t="n">
        <x:v>456694.31</x:v>
      </x:c>
      <x:c r="I60" s="42" t="n">
        <x:v>0</x:v>
      </x:c>
      <x:c r="J60" s="39" t="n">
        <x:v>456694.31</x:v>
      </x:c>
    </x:row>
    <x:row r="61" ht="39" customHeight="1">
      <x:c r="A61" s="33" t="n">
        <x:v>20</x:v>
      </x:c>
      <x:c r="B61" s="32" t="str">
        <x:v>ИП ЛИПСКИЙ 332909387853</x:v>
      </x:c>
      <x:c r="C61" s="32" t="str">
        <x:v>ТОКОПРОВОД</x:v>
      </x:c>
      <x:c r="D61" s="36"/>
      <x:c r="E61" s="32" t="str">
        <x:v>производство</x:v>
      </x:c>
      <x:c r="F61" s="33"/>
      <x:c r="G61" s="32" t="str">
        <x:v>ЕВРОПОДДОНЫ</x:v>
      </x:c>
      <x:c r="H61" s="38" t="n">
        <x:v>172050</x:v>
      </x:c>
      <x:c r="I61" s="38" t="n">
        <x:v>82050</x:v>
      </x:c>
      <x:c r="J61" s="39" t="n">
        <x:v>90000</x:v>
      </x:c>
    </x:row>
    <x:row r="62" ht="39" customHeight="1">
      <x:c r="A62" s="40" t="n">
        <x:v>21</x:v>
      </x:c>
      <x:c r="B62" s="41" t="str">
        <x:v>МАСТЕР МЕТАЛЛ</x:v>
      </x:c>
      <x:c r="C62" s="41" t="str">
        <x:v>ВР-логистик</x:v>
      </x:c>
      <x:c r="D62" s="36" t="n">
        <x:v>102776.5</x:v>
      </x:c>
      <x:c r="E62" s="41" t="str">
        <x:v>№358 Сарань Ютонг</x:v>
      </x:c>
      <x:c r="F62" s="40" t="str">
        <x:v>358</x:v>
      </x:c>
      <x:c r="G62" s="41" t="str">
        <x:v>лист оц 3 мм для узлов крепления 2 тн</x:v>
      </x:c>
      <x:c r="H62" s="42" t="n">
        <x:v>174000</x:v>
      </x:c>
      <x:c r="I62" s="42" t="n">
        <x:v>102776.5</x:v>
      </x:c>
      <x:c r="J62" s="39" t="n">
        <x:v>71223.5</x:v>
      </x:c>
    </x:row>
    <x:row r="63" ht="39" customHeight="1">
      <x:c r="A63" s="33" t="n">
        <x:v>22</x:v>
      </x:c>
      <x:c r="B63" s="32" t="str">
        <x:v>ЭКОВЕРМ</x:v>
      </x:c>
      <x:c r="C63" s="32" t="str">
        <x:v>ГЛАВПРОЕКТ</x:v>
      </x:c>
      <x:c r="D63" s="36"/>
      <x:c r="E63" s="32" t="str">
        <x:v>№383 Сарань Ютонг</x:v>
      </x:c>
      <x:c r="F63" s="33" t="str">
        <x:v>383</x:v>
      </x:c>
      <x:c r="G63" s="32" t="str">
        <x:v>файер барьеры счет 182</x:v>
      </x:c>
      <x:c r="H63" s="38" t="n">
        <x:v>21298</x:v>
      </x:c>
      <x:c r="I63" s="38" t="n">
        <x:v>0</x:v>
      </x:c>
      <x:c r="J63" s="39" t="n">
        <x:v>21298</x:v>
      </x:c>
    </x:row>
    <x:row r="64" ht="39" customHeight="1">
      <x:c r="A64" s="40" t="n">
        <x:v>23</x:v>
      </x:c>
      <x:c r="B64" s="41" t="str">
        <x:v>ЦЕНТАВР</x:v>
      </x:c>
      <x:c r="C64" s="41" t="str">
        <x:v>ТОКОПРОВОД</x:v>
      </x:c>
      <x:c r="D64" s="36"/>
      <x:c r="E64" s="41" t="str">
        <x:v>№362 Сарань Ютонг</x:v>
      </x:c>
      <x:c r="F64" s="40" t="str">
        <x:v>362</x:v>
      </x:c>
      <x:c r="G64" s="41" t="str">
        <x:v>шпильки для узлов крепления</x:v>
      </x:c>
      <x:c r="H64" s="42"/>
      <x:c r="I64" s="42"/>
      <x:c r="J64" s="39"/>
    </x:row>
    <x:row r="65" ht="39" customHeight="1">
      <x:c r="A65" s="33" t="n">
        <x:v>24</x:v>
      </x:c>
      <x:c r="B65" s="32" t="str">
        <x:v>Русский Свет</x:v>
      </x:c>
      <x:c r="C65" s="32" t="str">
        <x:v>ГЛАВПРОЕКТ</x:v>
      </x:c>
      <x:c r="D65" s="36"/>
      <x:c r="E65" s="32" t="str">
        <x:v>Дата Центр</x:v>
      </x:c>
      <x:c r="F65" s="33"/>
      <x:c r="G65" s="32" t="str">
        <x:v>Кабель силовой + наконечники сч№ 53404804 От 16.07.2026</x:v>
      </x:c>
      <x:c r="H65" s="38" t="n">
        <x:v>33557.37</x:v>
      </x:c>
      <x:c r="I65" s="38" t="n">
        <x:v>0</x:v>
      </x:c>
      <x:c r="J65" s="39" t="n">
        <x:v>33557.37</x:v>
      </x:c>
    </x:row>
    <x:row r="66" ht="39" customHeight="1">
      <x:c r="A66" s="40" t="n">
        <x:v>25</x:v>
      </x:c>
      <x:c r="B66" s="41" t="str">
        <x:v>ЦЕНТАВР</x:v>
      </x:c>
      <x:c r="C66" s="41" t="str">
        <x:v>ТОКОПРОВОД</x:v>
      </x:c>
      <x:c r="D66" s="36"/>
      <x:c r="E66" s="41" t="str">
        <x:v>№265 ЦОД СТИ Безуличный</x:v>
      </x:c>
      <x:c r="F66" s="40" t="str">
        <x:v>265</x:v>
      </x:c>
      <x:c r="G66" s="41" t="str">
        <x:v>метизы для сборки счет 55622</x:v>
      </x:c>
      <x:c r="H66" s="42" t="n">
        <x:v>122690.8</x:v>
      </x:c>
      <x:c r="I66" s="42" t="n">
        <x:v>0</x:v>
      </x:c>
      <x:c r="J66" s="39" t="n">
        <x:v>122690.8</x:v>
      </x:c>
    </x:row>
    <x:row r="67" ht="39" customHeight="1">
      <x:c r="A67" s="33" t="n">
        <x:v>26</x:v>
      </x:c>
      <x:c r="B67" s="32" t="str">
        <x:v>АЛЬФА-МЕТАЛЛ</x:v>
      </x:c>
      <x:c r="C67" s="32" t="str">
        <x:v>ТОКОПРОВОД</x:v>
      </x:c>
      <x:c r="D67" s="36"/>
      <x:c r="E67" s="32" t="str">
        <x:v>№281 ЦОД СТИ Безуличный 06.26</x:v>
      </x:c>
      <x:c r="F67" s="33" t="str">
        <x:v>281</x:v>
      </x:c>
      <x:c r="G67" s="32" t="str">
        <x:v>лист алюминиевый ад1 7 мм, 19 листов</x:v>
      </x:c>
      <x:c r="H67" s="38" t="n">
        <x:v>831281.16</x:v>
      </x:c>
      <x:c r="I67" s="38" t="n">
        <x:v>0</x:v>
      </x:c>
      <x:c r="J67" s="39" t="n">
        <x:v>831281.16</x:v>
      </x:c>
    </x:row>
    <x:row r="68" ht="39" customHeight="1">
      <x:c r="A68" s="40" t="n">
        <x:v>27</x:v>
      </x:c>
      <x:c r="B68" s="41" t="str">
        <x:v>Группа МЕТТАТРОН</x:v>
      </x:c>
      <x:c r="C68" s="41" t="str">
        <x:v>ГЛАВПРОЕКТ</x:v>
      </x:c>
      <x:c r="D68" s="36"/>
      <x:c r="E68" s="41" t="str">
        <x:v>№253 ВекторНи доп (СМL)</x:v>
      </x:c>
      <x:c r="F68" s="40" t="str">
        <x:v>253</x:v>
      </x:c>
      <x:c r="G68" s="41" t="str">
        <x:v>термоусад трубки (цена 920 /970 /1278 руб) сч№12237 от 08.07.26</x:v>
      </x:c>
      <x:c r="H68" s="42" t="n">
        <x:v>272283.5</x:v>
      </x:c>
      <x:c r="I68" s="42" t="n">
        <x:v>0</x:v>
      </x:c>
      <x:c r="J68" s="39" t="n">
        <x:v>272283.5</x:v>
      </x:c>
    </x:row>
    <x:row r="69" ht="39" customHeight="1">
      <x:c r="A69" s="33" t="n">
        <x:v>28</x:v>
      </x:c>
      <x:c r="B69" s="32" t="str">
        <x:v>МИРОТЭК</x:v>
      </x:c>
      <x:c r="C69" s="32" t="str">
        <x:v>ГЛАВПРОЕКТ</x:v>
      </x:c>
      <x:c r="D69" s="36"/>
      <x:c r="E69" s="32" t="str">
        <x:v>№252 ВекторНи, №251 ВекторНи, №253 Вектор НИ</x:v>
      </x:c>
      <x:c r="F69" s="33" t="str">
        <x:v>252, 251, 253</x:v>
      </x:c>
      <x:c r="G69" s="32" t="str">
        <x:v>компаунд 31(из 40) тн 416,83 р/кг</x:v>
      </x:c>
      <x:c r="H69" s="38" t="n">
        <x:v>12504900</x:v>
      </x:c>
      <x:c r="I69" s="38" t="n">
        <x:v>0</x:v>
      </x:c>
      <x:c r="J69" s="39" t="n">
        <x:v>12504900</x:v>
      </x:c>
    </x:row>
    <x:row r="70" ht="39" customHeight="1">
      <x:c r="A70" s="40" t="n">
        <x:v>29</x:v>
      </x:c>
      <x:c r="B70" s="41" t="str">
        <x:v>МИРОТЭК</x:v>
      </x:c>
      <x:c r="C70" s="41" t="str">
        <x:v>ТОКОПРОВОД</x:v>
      </x:c>
      <x:c r="D70" s="36"/>
      <x:c r="E70" s="41" t="str">
        <x:v>№252 ВекторНи, №251 ВекторНи, №253 Вектор НИ</x:v>
      </x:c>
      <x:c r="F70" s="40" t="str">
        <x:v>252, 251, 253</x:v>
      </x:c>
      <x:c r="G70" s="41" t="str">
        <x:v>компаунд 2(из 40) тн 416,83 р/кг счет 247</x:v>
      </x:c>
      <x:c r="H70" s="42" t="n">
        <x:v>833660</x:v>
      </x:c>
      <x:c r="I70" s="42" t="n">
        <x:v>415830</x:v>
      </x:c>
      <x:c r="J70" s="39" t="n">
        <x:v>417830</x:v>
      </x:c>
    </x:row>
    <x:row r="71" ht="39" customHeight="1">
      <x:c r="A71" s="33" t="n">
        <x:v>30</x:v>
      </x:c>
      <x:c r="B71" s="32" t="str">
        <x:v>МИРОТЭК</x:v>
      </x:c>
      <x:c r="C71" s="32" t="str">
        <x:v>ТОКОПРОВОД</x:v>
      </x:c>
      <x:c r="D71" s="36"/>
      <x:c r="E71" s="32" t="str">
        <x:v>№252 ВекторНи, №251 ВекторНи, №253 Вектор НИ</x:v>
      </x:c>
      <x:c r="F71" s="33" t="str">
        <x:v>252, 251, 253</x:v>
      </x:c>
      <x:c r="G71" s="32" t="str">
        <x:v>компаунд 2(из 40) тн 416,83 р/кг счет 319</x:v>
      </x:c>
      <x:c r="H71" s="38" t="n">
        <x:v>833660</x:v>
      </x:c>
      <x:c r="I71" s="38" t="n">
        <x:v>0</x:v>
      </x:c>
      <x:c r="J71" s="39" t="n">
        <x:v>833660</x:v>
      </x:c>
    </x:row>
    <x:row r="72" ht="39" customHeight="1">
      <x:c r="A72" s="40" t="n">
        <x:v>32</x:v>
      </x:c>
      <x:c r="B72" s="41" t="str">
        <x:v>НИЖЕГОРОДЭЛЕКТРОЗАЩИТА</x:v>
      </x:c>
      <x:c r="C72" s="41" t="str">
        <x:v>ТОКОПРОВОД</x:v>
      </x:c>
      <x:c r="D72" s="36" t="n">
        <x:v>1493.04</x:v>
      </x:c>
      <x:c r="E72" s="41" t="str">
        <x:v>ЦОД СТИ</x:v>
      </x:c>
      <x:c r="F72" s="40"/>
      <x:c r="G72" s="41" t="str">
        <x:v>Пленкосинтокартон ПСК-515 0,30 мм 260 кг</x:v>
      </x:c>
      <x:c r="H72" s="42" t="n">
        <x:v>111020</x:v>
      </x:c>
      <x:c r="I72" s="42" t="n">
        <x:v>0</x:v>
      </x:c>
      <x:c r="J72" s="39" t="n">
        <x:v>111020</x:v>
      </x:c>
    </x:row>
    <x:row r="73" ht="39" customHeight="1">
      <x:c r="A73" s="33" t="n">
        <x:v>33</x:v>
      </x:c>
      <x:c r="B73" s="32" t="str">
        <x:v>Элевел Инженер 5001112612</x:v>
      </x:c>
      <x:c r="C73" s="32" t="str">
        <x:v>ГЛАВПРОЕКТ</x:v>
      </x:c>
      <x:c r="D73" s="36"/>
      <x:c r="E73" s="32" t="str">
        <x:v>№321 Сбер-Кут</x:v>
      </x:c>
      <x:c r="F73" s="33" t="str">
        <x:v>321</x:v>
      </x:c>
      <x:c r="G73" s="32" t="str">
        <x:v>автоматы ЧИНТ ( аналоги ) .241006 от 28 июля 2026 г.</x:v>
      </x:c>
      <x:c r="H73" s="38" t="n">
        <x:v>7563386.5</x:v>
      </x:c>
      <x:c r="I73" s="38" t="n">
        <x:v>0</x:v>
      </x:c>
      <x:c r="J73" s="39" t="n">
        <x:v>7563386.5</x:v>
      </x:c>
    </x:row>
    <x:row r="74" ht="39" customHeight="1">
      <x:c r="A74" s="40" t="n">
        <x:v>34</x:v>
      </x:c>
      <x:c r="B74" s="41" t="str">
        <x:v>Элевел Инженер 5001112612</x:v>
      </x:c>
      <x:c r="C74" s="41" t="str">
        <x:v>ГЛАВПРОЕКТ</x:v>
      </x:c>
      <x:c r="D74" s="36"/>
      <x:c r="E74" s="41" t="str">
        <x:v>№322 Сбер-Кут</x:v>
      </x:c>
      <x:c r="F74" s="40" t="str">
        <x:v>322</x:v>
      </x:c>
      <x:c r="G74" s="41" t="str">
        <x:v>автоматы ЧИНТ ( аналоги ) 241004 от 28 июля 2026 г.</x:v>
      </x:c>
      <x:c r="H74" s="42" t="n">
        <x:v>636074.88</x:v>
      </x:c>
      <x:c r="I74" s="42" t="n">
        <x:v>0</x:v>
      </x:c>
      <x:c r="J74" s="39" t="n">
        <x:v>636074.88</x:v>
      </x:c>
    </x:row>
    <x:row r="75" ht="39" customHeight="1">
      <x:c r="A75" s="33" t="n">
        <x:v>35</x:v>
      </x:c>
      <x:c r="B75" s="32" t="str">
        <x:v>Элевел Инженер 5001112612</x:v>
      </x:c>
      <x:c r="C75" s="32" t="str">
        <x:v>ГЛАВПРОЕКТ</x:v>
      </x:c>
      <x:c r="D75" s="36"/>
      <x:c r="E75" s="32" t="str">
        <x:v>№322 Сбер-Кут доп</x:v>
      </x:c>
      <x:c r="F75" s="33" t="str">
        <x:v>322</x:v>
      </x:c>
      <x:c r="G75" s="32" t="str">
        <x:v>автоматы ЧИНТ ( аналоги ) 244570 от 05 08 2026 г.</x:v>
      </x:c>
      <x:c r="H75" s="38" t="n">
        <x:v>231297</x:v>
      </x:c>
      <x:c r="I75" s="38" t="n">
        <x:v>0</x:v>
      </x:c>
      <x:c r="J75" s="39" t="n">
        <x:v>231297</x:v>
      </x:c>
    </x:row>
    <x:row r="76" ht="39" customHeight="1">
      <x:c r="A76" s="40" t="n">
        <x:v>36</x:v>
      </x:c>
      <x:c r="B76" s="41" t="str">
        <x:v>Элевел Инженер 5001112612</x:v>
      </x:c>
      <x:c r="C76" s="41" t="str">
        <x:v>ГЛАВПРОЕКТ</x:v>
      </x:c>
      <x:c r="D76" s="36"/>
      <x:c r="E76" s="41" t="str">
        <x:v>№383 ОДК САЛЮТ</x:v>
      </x:c>
      <x:c r="F76" s="40" t="str">
        <x:v>383</x:v>
      </x:c>
      <x:c r="G76" s="41" t="str">
        <x:v>автоматы для КОМ счет 246794</x:v>
      </x:c>
      <x:c r="H76" s="42" t="n">
        <x:v>1353994.64</x:v>
      </x:c>
      <x:c r="I76" s="42" t="n">
        <x:v>0</x:v>
      </x:c>
      <x:c r="J76" s="39" t="n">
        <x:v>1353994.64</x:v>
      </x:c>
    </x:row>
    <x:row r="77" ht="39" customHeight="1">
      <x:c r="A77" s="33" t="n">
        <x:v>37</x:v>
      </x:c>
      <x:c r="B77" s="32" t="str">
        <x:v>Элевел Инженер 5001112612</x:v>
      </x:c>
      <x:c r="C77" s="32" t="str">
        <x:v>ГЛАВПРОЕКТ</x:v>
      </x:c>
      <x:c r="D77" s="36"/>
      <x:c r="E77" s="32" t="str">
        <x:v>№390 Колбаса</x:v>
      </x:c>
      <x:c r="F77" s="33" t="str">
        <x:v>390</x:v>
      </x:c>
      <x:c r="G77" s="32" t="str">
        <x:v>автоматы для КОМ счет 247076</x:v>
      </x:c>
      <x:c r="H77" s="38" t="n">
        <x:v>63932.34</x:v>
      </x:c>
      <x:c r="I77" s="38" t="n">
        <x:v>0</x:v>
      </x:c>
      <x:c r="J77" s="39" t="n">
        <x:v>63932.34</x:v>
      </x:c>
    </x:row>
    <x:row r="78" ht="39" customHeight="1">
      <x:c r="A78" s="40" t="n">
        <x:v>38</x:v>
      </x:c>
      <x:c r="B78" s="41" t="str">
        <x:v>Элевел Инженер 5001112612</x:v>
      </x:c>
      <x:c r="C78" s="41" t="str">
        <x:v>ГЛАВПРОЕКТ</x:v>
      </x:c>
      <x:c r="D78" s="36"/>
      <x:c r="E78" s="41" t="str">
        <x:v>№407 Сарань Ютонг</x:v>
      </x:c>
      <x:c r="F78" s="40" t="str">
        <x:v>407</x:v>
      </x:c>
      <x:c r="G78" s="41" t="str">
        <x:v>автоматы в расчете</x:v>
      </x:c>
      <x:c r="H78" s="42"/>
      <x:c r="I78" s="42"/>
      <x:c r="J78" s="39"/>
    </x:row>
    <x:row r="79" ht="39" customHeight="1">
      <x:c r="A79" s="33" t="n">
        <x:v>39</x:v>
      </x:c>
      <x:c r="B79" s="32" t="str">
        <x:v>ЭКОВЕРМ</x:v>
      </x:c>
      <x:c r="C79" s="32" t="str">
        <x:v>ГЛАВПРОЕКТ</x:v>
      </x:c>
      <x:c r="D79" s="36"/>
      <x:c r="E79" s="32" t="str">
        <x:v>№267 Цод СТИ Безуличный</x:v>
      </x:c>
      <x:c r="F79" s="33" t="str">
        <x:v>267</x:v>
      </x:c>
      <x:c r="G79" s="32" t="str">
        <x:v>Файер барьеры счет 126</x:v>
      </x:c>
      <x:c r="H79" s="38" t="n">
        <x:v>1034590</x:v>
      </x:c>
      <x:c r="I79" s="38" t="n">
        <x:v>0</x:v>
      </x:c>
      <x:c r="J79" s="39" t="n">
        <x:v>1034590</x:v>
      </x:c>
    </x:row>
    <x:row r="80" ht="39" customHeight="1">
      <x:c r="A80" s="40" t="n">
        <x:v>40</x:v>
      </x:c>
      <x:c r="B80" s="41" t="str">
        <x:v>ЭКОВЕРМ</x:v>
      </x:c>
      <x:c r="C80" s="41" t="str">
        <x:v>ГЛАВПРОЕКТ</x:v>
      </x:c>
      <x:c r="D80" s="36"/>
      <x:c r="E80" s="41" t="str">
        <x:v>№264 Цод СТИ Безуличный</x:v>
      </x:c>
      <x:c r="F80" s="40" t="str">
        <x:v>264</x:v>
      </x:c>
      <x:c r="G80" s="41" t="str">
        <x:v>Файер барьеры счет 127</x:v>
      </x:c>
      <x:c r="H80" s="42" t="n">
        <x:v>1604206</x:v>
      </x:c>
      <x:c r="I80" s="42" t="n">
        <x:v>0</x:v>
      </x:c>
      <x:c r="J80" s="39" t="n">
        <x:v>1604206</x:v>
      </x:c>
    </x:row>
    <x:row r="81" ht="39" customHeight="1">
      <x:c r="A81" s="33" t="n">
        <x:v>41</x:v>
      </x:c>
      <x:c r="B81" s="32" t="str">
        <x:v>ЭКОВЕРМ</x:v>
      </x:c>
      <x:c r="C81" s="32" t="str">
        <x:v>ГЛАВПРОЕКТ</x:v>
      </x:c>
      <x:c r="D81" s="36"/>
      <x:c r="E81" s="32" t="str">
        <x:v>№271 Цод СТИ Безуличный</x:v>
      </x:c>
      <x:c r="F81" s="33" t="str">
        <x:v>271</x:v>
      </x:c>
      <x:c r="G81" s="32" t="str">
        <x:v>Файер барьеры счет 128</x:v>
      </x:c>
      <x:c r="H81" s="38" t="n">
        <x:v>879904</x:v>
      </x:c>
      <x:c r="I81" s="38" t="n">
        <x:v>0</x:v>
      </x:c>
      <x:c r="J81" s="39" t="n">
        <x:v>879904</x:v>
      </x:c>
    </x:row>
    <x:row r="82" ht="39" customHeight="1">
      <x:c r="A82" s="40" t="n">
        <x:v>42</x:v>
      </x:c>
      <x:c r="B82" s="41" t="str">
        <x:v>ЭКОВЕРМ</x:v>
      </x:c>
      <x:c r="C82" s="41" t="str">
        <x:v>ГЛАВПРОЕКТ</x:v>
      </x:c>
      <x:c r="D82" s="36"/>
      <x:c r="E82" s="41" t="str">
        <x:v>№282 от 06.26 ЦОД СТИ Безуличный</x:v>
      </x:c>
      <x:c r="F82" s="40" t="str">
        <x:v>282</x:v>
      </x:c>
      <x:c r="G82" s="41" t="str">
        <x:v>файер барьеры счет 171</x:v>
      </x:c>
      <x:c r="H82" s="42" t="n">
        <x:v>535406</x:v>
      </x:c>
      <x:c r="I82" s="42" t="n">
        <x:v>0</x:v>
      </x:c>
      <x:c r="J82" s="39" t="n">
        <x:v>535406</x:v>
      </x:c>
    </x:row>
    <x:row r="83" ht="39" customHeight="1">
      <x:c r="A83" s="33" t="n">
        <x:v>43</x:v>
      </x:c>
      <x:c r="B83" s="32" t="str">
        <x:v>ЭКОВЕРМ</x:v>
      </x:c>
      <x:c r="C83" s="32" t="str">
        <x:v>ГЛАВПРОЕКТ</x:v>
      </x:c>
      <x:c r="D83" s="36"/>
      <x:c r="E83" s="32" t="str">
        <x:v>№299 ЦОД СТИ Безуличный</x:v>
      </x:c>
      <x:c r="F83" s="33" t="str">
        <x:v>299</x:v>
      </x:c>
      <x:c r="G83" s="32" t="str">
        <x:v>файер барьеры счет 172</x:v>
      </x:c>
      <x:c r="H83" s="38" t="n">
        <x:v>16906</x:v>
      </x:c>
      <x:c r="I83" s="38" t="n">
        <x:v>0</x:v>
      </x:c>
      <x:c r="J83" s="39" t="n">
        <x:v>16906</x:v>
      </x:c>
    </x:row>
    <x:row r="84" ht="39" customHeight="1">
      <x:c r="A84" s="40" t="n">
        <x:v>44</x:v>
      </x:c>
      <x:c r="B84" s="41" t="str">
        <x:v>ЭКОВЕРМ</x:v>
      </x:c>
      <x:c r="C84" s="41" t="str">
        <x:v>ГЛАВПРОЕКТ</x:v>
      </x:c>
      <x:c r="D84" s="36"/>
      <x:c r="E84" s="41" t="str">
        <x:v>№260 Сбер-Кут</x:v>
      </x:c>
      <x:c r="F84" s="40" t="str">
        <x:v>260</x:v>
      </x:c>
      <x:c r="G84" s="41" t="str">
        <x:v>файер барьеры счет 138</x:v>
      </x:c>
      <x:c r="H84" s="42" t="n">
        <x:v>2157166</x:v>
      </x:c>
      <x:c r="I84" s="42" t="n">
        <x:v>0</x:v>
      </x:c>
      <x:c r="J84" s="39" t="n">
        <x:v>2157166</x:v>
      </x:c>
    </x:row>
    <x:row r="85" ht="39" customHeight="1">
      <x:c r="A85" s="33" t="n">
        <x:v>45</x:v>
      </x:c>
      <x:c r="B85" s="32" t="str">
        <x:v>ЭКОВЕРМ</x:v>
      </x:c>
      <x:c r="C85" s="32" t="str">
        <x:v>ГЛАВПРОЕКТ</x:v>
      </x:c>
      <x:c r="D85" s="36"/>
      <x:c r="E85" s="32" t="str">
        <x:v>№359 Сбер-Кут IP68</x:v>
      </x:c>
      <x:c r="F85" s="33" t="str">
        <x:v>359</x:v>
      </x:c>
      <x:c r="G85" s="32" t="str">
        <x:v>файер барьеры счет 169</x:v>
      </x:c>
      <x:c r="H85" s="38" t="n">
        <x:v>48844</x:v>
      </x:c>
      <x:c r="I85" s="38" t="n">
        <x:v>0</x:v>
      </x:c>
      <x:c r="J85" s="39" t="n">
        <x:v>48844</x:v>
      </x:c>
    </x:row>
    <x:row r="86" ht="39" customHeight="1">
      <x:c r="A86" s="40" t="n">
        <x:v>46</x:v>
      </x:c>
      <x:c r="B86" s="41" t="str">
        <x:v>ЭКОВЕРМ</x:v>
      </x:c>
      <x:c r="C86" s="41" t="str">
        <x:v>ГЛАВПРОЕКТ</x:v>
      </x:c>
      <x:c r="D86" s="36"/>
      <x:c r="E86" s="41" t="str">
        <x:v>№365 Сбер-Кут IP68</x:v>
      </x:c>
      <x:c r="F86" s="40" t="str">
        <x:v>365</x:v>
      </x:c>
      <x:c r="G86" s="41" t="str">
        <x:v>файер барьеры счет 170</x:v>
      </x:c>
      <x:c r="H86" s="42" t="n">
        <x:v>47754</x:v>
      </x:c>
      <x:c r="I86" s="42" t="n">
        <x:v>0</x:v>
      </x:c>
      <x:c r="J86" s="39" t="n">
        <x:v>47754</x:v>
      </x:c>
    </x:row>
    <x:row r="87" ht="39" customHeight="1">
      <x:c r="A87" s="33" t="n">
        <x:v>47</x:v>
      </x:c>
      <x:c r="B87" s="32" t="str">
        <x:v>ЭКОВЕРМ</x:v>
      </x:c>
      <x:c r="C87" s="32" t="str">
        <x:v>ГЛАВПРОЕКТ</x:v>
      </x:c>
      <x:c r="D87" s="36"/>
      <x:c r="E87" s="32" t="str">
        <x:v>№370 ВДНХ-69</x:v>
      </x:c>
      <x:c r="F87" s="33" t="str">
        <x:v>370</x:v>
      </x:c>
      <x:c r="G87" s="32" t="str">
        <x:v>файер барьеры счет 165</x:v>
      </x:c>
      <x:c r="H87" s="38" t="n">
        <x:v>121730</x:v>
      </x:c>
      <x:c r="I87" s="38" t="n">
        <x:v>0</x:v>
      </x:c>
      <x:c r="J87" s="39" t="n">
        <x:v>121730</x:v>
      </x:c>
    </x:row>
    <x:row r="88" ht="39" customHeight="1">
      <x:c r="A88" s="40" t="n">
        <x:v>48</x:v>
      </x:c>
      <x:c r="B88" s="41" t="str">
        <x:v>ЭКОВЕРМ</x:v>
      </x:c>
      <x:c r="C88" s="41" t="str">
        <x:v>ГЛАВПРОЕКТ</x:v>
      </x:c>
      <x:c r="D88" s="36"/>
      <x:c r="E88" s="41" t="str">
        <x:v>№360 Усть-Турбо</x:v>
      </x:c>
      <x:c r="F88" s="40" t="str">
        <x:v>360</x:v>
      </x:c>
      <x:c r="G88" s="41" t="str">
        <x:v>файер барьеры счет 166</x:v>
      </x:c>
      <x:c r="H88" s="42" t="n">
        <x:v>11164</x:v>
      </x:c>
      <x:c r="I88" s="42" t="n">
        <x:v>0</x:v>
      </x:c>
      <x:c r="J88" s="39" t="n">
        <x:v>11164</x:v>
      </x:c>
    </x:row>
    <x:row r="89" ht="39" customHeight="1">
      <x:c r="A89" s="33" t="n">
        <x:v>49</x:v>
      </x:c>
      <x:c r="B89" s="32" t="str">
        <x:v>ЭКОВЕРМ</x:v>
      </x:c>
      <x:c r="C89" s="32" t="str">
        <x:v>ГЛАВПРОЕКТ</x:v>
      </x:c>
      <x:c r="D89" s="36"/>
      <x:c r="E89" s="32" t="str">
        <x:v>№351 Авиа РБ (отправить в РБ)</x:v>
      </x:c>
      <x:c r="F89" s="33" t="str">
        <x:v>351</x:v>
      </x:c>
      <x:c r="G89" s="32" t="str">
        <x:v>файер барьеры счет 167</x:v>
      </x:c>
      <x:c r="H89" s="38" t="n">
        <x:v>72710</x:v>
      </x:c>
      <x:c r="I89" s="38" t="n">
        <x:v>0</x:v>
      </x:c>
      <x:c r="J89" s="39" t="n">
        <x:v>72710</x:v>
      </x:c>
    </x:row>
    <x:row r="90" ht="39" customHeight="1">
      <x:c r="A90" s="40" t="n">
        <x:v>50</x:v>
      </x:c>
      <x:c r="B90" s="41" t="str">
        <x:v>ЭКОВЕРМ</x:v>
      </x:c>
      <x:c r="C90" s="41" t="str">
        <x:v>ГЛАВПРОЕКТ</x:v>
      </x:c>
      <x:c r="D90" s="36"/>
      <x:c r="E90" s="41" t="str">
        <x:v>№368 Фрязино 126</x:v>
      </x:c>
      <x:c r="F90" s="40" t="str">
        <x:v>368</x:v>
      </x:c>
      <x:c r="G90" s="41" t="str">
        <x:v>файер барьеры счет 168</x:v>
      </x:c>
      <x:c r="H90" s="42" t="n">
        <x:v>75928</x:v>
      </x:c>
      <x:c r="I90" s="42" t="n">
        <x:v>0</x:v>
      </x:c>
      <x:c r="J90" s="39" t="n">
        <x:v>75928</x:v>
      </x:c>
    </x:row>
    <x:row r="91" ht="39" customHeight="1">
      <x:c r="A91" s="33" t="n">
        <x:v>51</x:v>
      </x:c>
      <x:c r="B91" s="32" t="str">
        <x:v>ЭКОВЕРМ</x:v>
      </x:c>
      <x:c r="C91" s="32" t="str">
        <x:v>ГЛАВПРОЕКТ</x:v>
      </x:c>
      <x:c r="D91" s="36"/>
      <x:c r="E91" s="32" t="str">
        <x:v>№393 Ярик</x:v>
      </x:c>
      <x:c r="F91" s="33" t="str">
        <x:v>393</x:v>
      </x:c>
      <x:c r="G91" s="32" t="str">
        <x:v>Файер барьеры счет 185</x:v>
      </x:c>
      <x:c r="H91" s="38" t="n">
        <x:v>32518</x:v>
      </x:c>
      <x:c r="I91" s="38" t="n">
        <x:v>0</x:v>
      </x:c>
      <x:c r="J91" s="39" t="n">
        <x:v>32518</x:v>
      </x:c>
    </x:row>
    <x:row r="92" ht="39" customHeight="1">
      <x:c r="A92" s="40" t="n">
        <x:v>52</x:v>
      </x:c>
      <x:c r="B92" s="41" t="str">
        <x:v>ЭКОВЕРМ</x:v>
      </x:c>
      <x:c r="C92" s="41" t="str">
        <x:v>ГЛАВПРОЕКТ</x:v>
      </x:c>
      <x:c r="D92" s="36"/>
      <x:c r="E92" s="41" t="str">
        <x:v>№395 Светлые Горы</x:v>
      </x:c>
      <x:c r="F92" s="40" t="str">
        <x:v>395</x:v>
      </x:c>
      <x:c r="G92" s="41" t="str">
        <x:v>Файер барьеры счет</x:v>
      </x:c>
      <x:c r="H92" s="42"/>
      <x:c r="I92" s="42"/>
      <x:c r="J92" s="39"/>
    </x:row>
    <x:row r="93" ht="39" customHeight="1">
      <x:c r="A93" s="33" t="n">
        <x:v>53</x:v>
      </x:c>
      <x:c r="B93" s="32" t="str">
        <x:v>ЭКОВЕРМ</x:v>
      </x:c>
      <x:c r="C93" s="32" t="str">
        <x:v>ГЛАВПРОЕКТ</x:v>
      </x:c>
      <x:c r="D93" s="36"/>
      <x:c r="E93" s="32" t="str">
        <x:v>№399 Сбер-Кут</x:v>
      </x:c>
      <x:c r="F93" s="33" t="str">
        <x:v>399</x:v>
      </x:c>
      <x:c r="G93" s="32" t="str">
        <x:v>Файер барьеры счет</x:v>
      </x:c>
      <x:c r="H93" s="38" t="n">
        <x:v>91562</x:v>
      </x:c>
      <x:c r="I93" s="38" t="n">
        <x:v>0</x:v>
      </x:c>
      <x:c r="J93" s="39" t="n">
        <x:v>91562</x:v>
      </x:c>
    </x:row>
    <x:row r="94" ht="39" customHeight="1">
      <x:c r="A94" s="40" t="n">
        <x:v>54</x:v>
      </x:c>
      <x:c r="B94" s="41" t="str">
        <x:v>ЭКОВЕРМ</x:v>
      </x:c>
      <x:c r="C94" s="41" t="str">
        <x:v>ГЛАВПРОЕКТ</x:v>
      </x:c>
      <x:c r="D94" s="36"/>
      <x:c r="E94" s="41" t="str">
        <x:v>№188 Преображенская площадь</x:v>
      </x:c>
      <x:c r="F94" s="40" t="str">
        <x:v>188</x:v>
      </x:c>
      <x:c r="G94" s="41" t="str">
        <x:v>Файер барьеры счет 73</x:v>
      </x:c>
      <x:c r="H94" s="42" t="n">
        <x:v>176332</x:v>
      </x:c>
      <x:c r="I94" s="42" t="n">
        <x:v>0</x:v>
      </x:c>
      <x:c r="J94" s="39" t="n">
        <x:v>176332</x:v>
      </x:c>
    </x:row>
    <x:row r="95" ht="39" customHeight="1">
      <x:c r="A95" s="33" t="n">
        <x:v>55</x:v>
      </x:c>
      <x:c r="B95" s="32" t="str">
        <x:v>БК-АЛПРОФ</x:v>
      </x:c>
      <x:c r="C95" s="32" t="str">
        <x:v>ГЛАВПРОЕКТ</x:v>
      </x:c>
      <x:c r="D95" s="36" t="n">
        <x:v>-0.02</x:v>
      </x:c>
      <x:c r="E95" s="32" t="str">
        <x:v>Тверь-Дети (предварительный расчет)</x:v>
      </x:c>
      <x:c r="F95" s="33"/>
      <x:c r="G95" s="32" t="str">
        <x:v>шина АД0 в ассортименте по 440 счет 1835</x:v>
      </x:c>
      <x:c r="H95" s="38" t="n">
        <x:v>2898827.7906599995</x:v>
      </x:c>
      <x:c r="I95" s="38" t="n">
        <x:v>0</x:v>
      </x:c>
      <x:c r="J95" s="39" t="n">
        <x:v>2898827.7906599995</x:v>
      </x:c>
    </x:row>
    <x:row r="96" ht="39" customHeight="1">
      <x:c r="A96" s="40" t="n">
        <x:v>56</x:v>
      </x:c>
      <x:c r="B96" s="41" t="str">
        <x:v>БК-АЛПРОФ</x:v>
      </x:c>
      <x:c r="C96" s="41" t="str">
        <x:v>ГЛАВПРОЕКТ</x:v>
      </x:c>
      <x:c r="D96" s="36"/>
      <x:c r="E96" s="41" t="str">
        <x:v>Тверь-Дети (предварительный расчет)</x:v>
      </x:c>
      <x:c r="F96" s="40"/>
      <x:c r="G96" s="41" t="str">
        <x:v>профиль АД31 4178 счет 1835</x:v>
      </x:c>
      <x:c r="H96" s="42"/>
      <x:c r="I96" s="42" t="n">
        <x:v>0</x:v>
      </x:c>
      <x:c r="J96" s="39" t="n">
        <x:v>0</x:v>
      </x:c>
    </x:row>
    <x:row r="97" ht="39" customHeight="1">
      <x:c r="A97" s="33" t="n">
        <x:v>57</x:v>
      </x:c>
      <x:c r="B97" s="32" t="str">
        <x:v>ЦОМ МОСТ-1 ООО</x:v>
      </x:c>
      <x:c r="C97" s="32" t="str">
        <x:v>ГЛАВПРОЕКТ спецсчет</x:v>
      </x:c>
      <x:c r="D97" s="36"/>
      <x:c r="E97" s="32" t="str">
        <x:v>Тверь-Дети (предварительный расчет)</x:v>
      </x:c>
      <x:c r="F97" s="33"/>
      <x:c r="G97" s="32" t="str">
        <x:v>Лист ал 2 мм 60 листов по 547 р/кг счет 14116</x:v>
      </x:c>
      <x:c r="H97" s="38" t="n">
        <x:v>734030.08</x:v>
      </x:c>
      <x:c r="I97" s="38" t="n">
        <x:v>0</x:v>
      </x:c>
      <x:c r="J97" s="39" t="n">
        <x:v>734030.08</x:v>
      </x:c>
    </x:row>
    <x:row r="98" ht="39" customHeight="1">
      <x:c r="A98" s="40" t="n">
        <x:v>58</x:v>
      </x:c>
      <x:c r="B98" s="41" t="str">
        <x:v>ЦЕНТАВР</x:v>
      </x:c>
      <x:c r="C98" s="41" t="str">
        <x:v>ГЛАВПРОЕКТ</x:v>
      </x:c>
      <x:c r="D98" s="36" t="n">
        <x:v>2023.2</x:v>
      </x:c>
      <x:c r="E98" s="41" t="str">
        <x:v>Тверь-Дети (предварительный расчет)</x:v>
      </x:c>
      <x:c r="F98" s="40"/>
      <x:c r="G98" s="41" t="str">
        <x:v>метизы для сборки счет 54737</x:v>
      </x:c>
      <x:c r="H98" s="42" t="n">
        <x:v>66250</x:v>
      </x:c>
      <x:c r="I98" s="42" t="n">
        <x:v>0</x:v>
      </x:c>
      <x:c r="J98" s="39" t="n">
        <x:v>66250</x:v>
      </x:c>
    </x:row>
    <x:row r="99" ht="39" customHeight="1">
      <x:c r="A99" s="33" t="n">
        <x:v>59</x:v>
      </x:c>
      <x:c r="B99" s="32" t="str">
        <x:v>О Ц П Н</x:v>
      </x:c>
      <x:c r="C99" s="32" t="str">
        <x:v>ГЛАВПРОЕКТ</x:v>
      </x:c>
      <x:c r="D99" s="36"/>
      <x:c r="E99" s="32" t="str">
        <x:v>Тверь-Дети (предварительный расчет)</x:v>
      </x:c>
      <x:c r="F99" s="33"/>
      <x:c r="G99" s="32" t="str">
        <x:v>порошок напыления ПОС 120 кг</x:v>
      </x:c>
      <x:c r="H99" s="38" t="n">
        <x:v>870000</x:v>
      </x:c>
      <x:c r="I99" s="38" t="n">
        <x:v>0</x:v>
      </x:c>
      <x:c r="J99" s="39" t="n">
        <x:v>870000</x:v>
      </x:c>
    </x:row>
    <x:row r="100" ht="39" customHeight="1">
      <x:c r="A100" s="40" t="n">
        <x:v>60</x:v>
      </x:c>
      <x:c r="B100" s="41" t="str">
        <x:v>МИРОТЭК</x:v>
      </x:c>
      <x:c r="C100" s="41" t="str">
        <x:v>ГЛАВПРОЕКТ</x:v>
      </x:c>
      <x:c r="D100" s="36"/>
      <x:c r="E100" s="41" t="str">
        <x:v>Тверь-Дети (предварительный расчет)</x:v>
      </x:c>
      <x:c r="F100" s="40"/>
      <x:c r="G100" s="41" t="str">
        <x:v>компаунд 7 тн</x:v>
      </x:c>
      <x:c r="H100" s="42" t="n">
        <x:v>2084150</x:v>
      </x:c>
      <x:c r="I100" s="42" t="n">
        <x:v>0</x:v>
      </x:c>
      <x:c r="J100" s="39" t="n">
        <x:v>2084150</x:v>
      </x:c>
    </x:row>
    <x:row r="101" ht="39" customHeight="1">
      <x:c r="A101" s="33" t="n">
        <x:v>61</x:v>
      </x:c>
      <x:c r="B101" s="32" t="str">
        <x:v>ТЕХНОПЛАСТ33</x:v>
      </x:c>
      <x:c r="C101" s="32" t="str">
        <x:v>ГЛАВПРОЕКТ</x:v>
      </x:c>
      <x:c r="D101" s="36"/>
      <x:c r="E101" s="32" t="str">
        <x:v>Тверь-Дети (предварительный расчет)</x:v>
      </x:c>
      <x:c r="F101" s="33"/>
      <x:c r="G101" s="32" t="str">
        <x:v>изоляторы стыков счет</x:v>
      </x:c>
      <x:c r="H101" s="38" t="n">
        <x:v>91408.49999999999</x:v>
      </x:c>
      <x:c r="I101" s="38" t="n">
        <x:v>0</x:v>
      </x:c>
      <x:c r="J101" s="39" t="n">
        <x:v>91408.49999999999</x:v>
      </x:c>
    </x:row>
    <x:row r="102" ht="27" customHeight="1">
      <x:c r="A102" s="26" t="str">
        <x:v>ЗАКУПКИ В КИТАЕ</x:v>
      </x:c>
      <x:c r="B102" s="26"/>
      <x:c r="C102" s="26"/>
      <x:c r="D102" s="26"/>
      <x:c r="E102" s="26"/>
      <x:c r="F102" s="26"/>
      <x:c r="G102" s="26"/>
      <x:c r="H102" s="26"/>
      <x:c r="I102" s="27" t="str">
        <x:v>ИТОГО К ОПЛАТЕ</x:v>
      </x:c>
      <x:c r="J102" s="28" t="n">
        <x:f>SUM(J103:J105)</x:f>
        <x:v>1946050</x:v>
      </x:c>
    </x:row>
    <x:row r="103" ht="39" customHeight="1">
      <x:c r="A103" s="40" t="n">
        <x:v>1</x:v>
      </x:c>
      <x:c r="B103" s="41" t="str">
        <x:v>Nanjing Quality</x:v>
      </x:c>
      <x:c r="C103" s="41" t="str">
        <x:v>ТОКОПРОВОД</x:v>
      </x:c>
      <x:c r="D103" s="36"/>
      <x:c r="E103" s="41" t="str">
        <x:v>производство</x:v>
      </x:c>
      <x:c r="F103" s="40"/>
      <x:c r="G103" s="41" t="str">
        <x:v>станок заточка пил ( 650 $ ) *80руб</x:v>
      </x:c>
      <x:c r="H103" s="42" t="n">
        <x:v>52000</x:v>
      </x:c>
      <x:c r="I103" s="42" t="n">
        <x:v>0</x:v>
      </x:c>
      <x:c r="J103" s="39" t="n">
        <x:v>52000</x:v>
      </x:c>
    </x:row>
    <x:row r="104" ht="39" customHeight="1">
      <x:c r="A104" s="33" t="n">
        <x:v>2</x:v>
      </x:c>
      <x:c r="B104" s="32" t="str">
        <x:v>Suzhou Kiande Electric</x:v>
      </x:c>
      <x:c r="C104" s="32" t="str">
        <x:v>ТОКОПРОВОД</x:v>
      </x:c>
      <x:c r="D104" s="36"/>
      <x:c r="E104" s="32" t="str">
        <x:v>производство</x:v>
      </x:c>
      <x:c r="F104" s="33"/>
      <x:c r="G104" s="32" t="str">
        <x:v>брусок литой 40 тыс.шт KD2026072901 возможна предоплата 50%</x:v>
      </x:c>
      <x:c r="H104" s="38" t="n">
        <x:v>226800</x:v>
      </x:c>
      <x:c r="I104" s="38" t="n">
        <x:v>113400</x:v>
      </x:c>
      <x:c r="J104" s="39" t="n">
        <x:v>1304100</x:v>
      </x:c>
    </x:row>
    <x:row r="105" ht="39" customHeight="1">
      <x:c r="A105" s="40" t="n">
        <x:v>3</x:v>
      </x:c>
      <x:c r="B105" s="41" t="str">
        <x:v>Suzhou Kiande Electric</x:v>
      </x:c>
      <x:c r="C105" s="41" t="str">
        <x:v>ТОКОПРОВОД</x:v>
      </x:c>
      <x:c r="D105" s="36"/>
      <x:c r="E105" s="41" t="str">
        <x:v>производство</x:v>
      </x:c>
      <x:c r="F105" s="40"/>
      <x:c r="G105" s="41" t="str">
        <x:v>шайба 20 тыс штук KD-PI2026081306, предоплата 50%</x:v>
      </x:c>
      <x:c r="H105" s="42" t="n">
        <x:v>102600</x:v>
      </x:c>
      <x:c r="I105" s="42" t="n">
        <x:v>51300</x:v>
      </x:c>
      <x:c r="J105" s="39" t="n">
        <x:v>589950</x:v>
      </x:c>
    </x:row>
    <x:row r="106" ht="27" customHeight="1">
      <x:c r="A106" s="26" t="str">
        <x:v>ПОТРЕБНОСТЬ ПО ПРОИЗВОДСТВУ</x:v>
      </x:c>
      <x:c r="B106" s="26"/>
      <x:c r="C106" s="26"/>
      <x:c r="D106" s="26"/>
      <x:c r="E106" s="26"/>
      <x:c r="F106" s="26"/>
      <x:c r="G106" s="26"/>
      <x:c r="H106" s="26"/>
      <x:c r="I106" s="27" t="str">
        <x:v>ИТОГО К ОПЛАТЕ</x:v>
      </x:c>
      <x:c r="J106" s="28" t="n">
        <x:f>SUM(J107:J119)</x:f>
        <x:v>10696736.899999999</x:v>
      </x:c>
    </x:row>
    <x:row r="107" ht="39" customHeight="1">
      <x:c r="A107" s="40" t="n">
        <x:v>1</x:v>
      </x:c>
      <x:c r="B107" s="41" t="str">
        <x:v>МЕТАЛЛПРОМСНАБ</x:v>
      </x:c>
      <x:c r="C107" s="41" t="str">
        <x:v>ТОКОПРОВОД</x:v>
      </x:c>
      <x:c r="D107" s="36"/>
      <x:c r="E107" s="41" t="str">
        <x:v>производство</x:v>
      </x:c>
      <x:c r="F107" s="40"/>
      <x:c r="G107" s="41" t="str">
        <x:v>шлифовка фильер на экструдер</x:v>
      </x:c>
      <x:c r="H107" s="42" t="n">
        <x:v>117120</x:v>
      </x:c>
      <x:c r="I107" s="42" t="n">
        <x:v>0</x:v>
      </x:c>
      <x:c r="J107" s="39" t="n">
        <x:v>117120</x:v>
      </x:c>
    </x:row>
    <x:row r="108" ht="39" customHeight="1">
      <x:c r="A108" s="33" t="n">
        <x:v>2</x:v>
      </x:c>
      <x:c r="B108" s="32" t="str">
        <x:v>ООО "Сапсет"</x:v>
      </x:c>
      <x:c r="C108" s="32" t="str">
        <x:v>МК ИНЖИНИРИНГ</x:v>
      </x:c>
      <x:c r="D108" s="36"/>
      <x:c r="E108" s="32" t="str">
        <x:v>производство</x:v>
      </x:c>
      <x:c r="F108" s="33"/>
      <x:c r="G108" s="32" t="str">
        <x:v>рабочая обувь 50 пар</x:v>
      </x:c>
      <x:c r="H108" s="38" t="n">
        <x:v>125050</x:v>
      </x:c>
      <x:c r="I108" s="38" t="n">
        <x:v>0</x:v>
      </x:c>
      <x:c r="J108" s="39" t="n">
        <x:v>125050</x:v>
      </x:c>
    </x:row>
    <x:row r="109" ht="39" customHeight="1">
      <x:c r="A109" s="40" t="n">
        <x:v>3</x:v>
      </x:c>
      <x:c r="B109" s="41" t="str">
        <x:v>ИП Володина</x:v>
      </x:c>
      <x:c r="C109" s="41" t="str">
        <x:v>МК ИНЖИНИРИНГ</x:v>
      </x:c>
      <x:c r="D109" s="36"/>
      <x:c r="E109" s="41" t="str">
        <x:v>производство</x:v>
      </x:c>
      <x:c r="F109" s="40"/>
      <x:c r="G109" s="41" t="str">
        <x:v>рабочая одежда футболки</x:v>
      </x:c>
      <x:c r="H109" s="42" t="n">
        <x:v>33600</x:v>
      </x:c>
      <x:c r="I109" s="42" t="n">
        <x:v>0</x:v>
      </x:c>
      <x:c r="J109" s="39" t="n">
        <x:v>33600</x:v>
      </x:c>
    </x:row>
    <x:row r="110" ht="39" customHeight="1">
      <x:c r="A110" s="33" t="n">
        <x:v>4</x:v>
      </x:c>
      <x:c r="B110" s="32" t="str">
        <x:v>ИП Володина</x:v>
      </x:c>
      <x:c r="C110" s="32" t="str">
        <x:v>АЛБИМАКСМЕТАЛЛ</x:v>
      </x:c>
      <x:c r="D110" s="36"/>
      <x:c r="E110" s="32" t="str">
        <x:v>производство</x:v>
      </x:c>
      <x:c r="F110" s="33"/>
      <x:c r="G110" s="32" t="str">
        <x:v>рабочая одежда брюки</x:v>
      </x:c>
      <x:c r="H110" s="38" t="n">
        <x:v>49680</x:v>
      </x:c>
      <x:c r="I110" s="38" t="n">
        <x:v>0</x:v>
      </x:c>
      <x:c r="J110" s="39" t="n">
        <x:v>49680</x:v>
      </x:c>
    </x:row>
    <x:row r="111" ht="39" customHeight="1">
      <x:c r="A111" s="40" t="n">
        <x:v>5</x:v>
      </x:c>
      <x:c r="B111" s="41" t="str">
        <x:v>О Ц П Н</x:v>
      </x:c>
      <x:c r="C111" s="41" t="str">
        <x:v>ГЛАВПРОЕКТ</x:v>
      </x:c>
      <x:c r="D111" s="36"/>
      <x:c r="E111" s="41" t="str">
        <x:v>производство</x:v>
      </x:c>
      <x:c r="F111" s="40"/>
      <x:c r="G111" s="41" t="str">
        <x:v>сканирующее устройство СКУ-6</x:v>
      </x:c>
      <x:c r="H111" s="42" t="n">
        <x:v>750000</x:v>
      </x:c>
      <x:c r="I111" s="42" t="n">
        <x:v>0</x:v>
      </x:c>
      <x:c r="J111" s="39" t="n">
        <x:v>750000</x:v>
      </x:c>
    </x:row>
    <x:row r="112" ht="39" customHeight="1">
      <x:c r="A112" s="33" t="n">
        <x:v>6</x:v>
      </x:c>
      <x:c r="B112" s="32" t="str">
        <x:v>АСД техник</x:v>
      </x:c>
      <x:c r="C112" s="32" t="str">
        <x:v>ГЛАВПРОЕКТ</x:v>
      </x:c>
      <x:c r="D112" s="36"/>
      <x:c r="E112" s="32" t="str">
        <x:v>производство</x:v>
      </x:c>
      <x:c r="F112" s="33"/>
      <x:c r="G112" s="32" t="str">
        <x:v>новая модель установки заливки компаунда</x:v>
      </x:c>
      <x:c r="H112" s="38" t="n">
        <x:v>7802000</x:v>
      </x:c>
      <x:c r="I112" s="38" t="n">
        <x:v>0</x:v>
      </x:c>
      <x:c r="J112" s="39" t="n">
        <x:v>7802000</x:v>
      </x:c>
    </x:row>
    <x:row r="113" ht="39" customHeight="1">
      <x:c r="A113" s="40" t="n">
        <x:v>7</x:v>
      </x:c>
      <x:c r="B113" s="41" t="str">
        <x:v>ООО «ГИГАМЕХ»</x:v>
      </x:c>
      <x:c r="C113" s="41" t="str">
        <x:v>ГЛАВПРОЕКТ</x:v>
      </x:c>
      <x:c r="D113" s="36"/>
      <x:c r="E113" s="41" t="str">
        <x:v>производство</x:v>
      </x:c>
      <x:c r="F113" s="40"/>
      <x:c r="G113" s="41" t="str">
        <x:v>Интеграция лазерной сварки 3000Вт с роботом FANUC ARC Mate</x:v>
      </x:c>
      <x:c r="H113" s="42" t="n">
        <x:v>355000</x:v>
      </x:c>
      <x:c r="I113" s="42" t="n">
        <x:v>0</x:v>
      </x:c>
      <x:c r="J113" s="39" t="n">
        <x:v>355000</x:v>
      </x:c>
    </x:row>
    <x:row r="114" ht="39" customHeight="1">
      <x:c r="A114" s="33" t="n">
        <x:v>8</x:v>
      </x:c>
      <x:c r="B114" s="32" t="str">
        <x:v>РЕГАРД</x:v>
      </x:c>
      <x:c r="C114" s="32" t="str">
        <x:v>ГЛАВПРОЕКТ</x:v>
      </x:c>
      <x:c r="D114" s="36"/>
      <x:c r="E114" s="32" t="str">
        <x:v>москва офис</x:v>
      </x:c>
      <x:c r="F114" s="33"/>
      <x:c r="G114" s="32" t="str">
        <x:v>ПК для проектировщиков заявка СТЕПАНОВА</x:v>
      </x:c>
      <x:c r="H114" s="38" t="n">
        <x:v>304580</x:v>
      </x:c>
      <x:c r="I114" s="38" t="n">
        <x:v>0</x:v>
      </x:c>
      <x:c r="J114" s="39" t="n">
        <x:v>304580</x:v>
      </x:c>
    </x:row>
    <x:row r="115" ht="39" customHeight="1">
      <x:c r="A115" s="40" t="n">
        <x:v>9</x:v>
      </x:c>
      <x:c r="B115" s="41" t="str">
        <x:v>РУССКИЙ свет</x:v>
      </x:c>
      <x:c r="C115" s="41" t="str">
        <x:v>ГЛАВПРОЕКТ</x:v>
      </x:c>
      <x:c r="D115" s="36"/>
      <x:c r="E115" s="41" t="str">
        <x:v>протяжка кабеля между цехами</x:v>
      </x:c>
      <x:c r="F115" s="40"/>
      <x:c r="G115" s="41" t="str">
        <x:v>кабель 4*95 100 метров</x:v>
      </x:c>
      <x:c r="H115" s="42" t="n">
        <x:v>66783.41</x:v>
      </x:c>
      <x:c r="I115" s="42" t="n">
        <x:v>0</x:v>
      </x:c>
      <x:c r="J115" s="39" t="n">
        <x:v>66783.41</x:v>
      </x:c>
    </x:row>
    <x:row r="116" ht="39" customHeight="1">
      <x:c r="A116" s="33" t="n">
        <x:v>10</x:v>
      </x:c>
      <x:c r="B116" s="32" t="str">
        <x:v>СПК</x:v>
      </x:c>
      <x:c r="C116" s="32" t="str">
        <x:v>ТОКОПРОВОД</x:v>
      </x:c>
      <x:c r="D116" s="36"/>
      <x:c r="E116" s="32" t="str">
        <x:v>протяжка кабеля между цехами</x:v>
      </x:c>
      <x:c r="F116" s="33"/>
      <x:c r="G116" s="32" t="str">
        <x:v>автоматы для подключения</x:v>
      </x:c>
      <x:c r="H116" s="38" t="n">
        <x:v>28784.12</x:v>
      </x:c>
      <x:c r="I116" s="38" t="n">
        <x:v>0</x:v>
      </x:c>
      <x:c r="J116" s="39" t="n">
        <x:v>28784.12</x:v>
      </x:c>
    </x:row>
    <x:row r="117" ht="39" customHeight="1">
      <x:c r="A117" s="40" t="n">
        <x:v>11</x:v>
      </x:c>
      <x:c r="B117" s="41" t="str">
        <x:v>ИП Моисеев Александр Иванович</x:v>
      </x:c>
      <x:c r="C117" s="41" t="str">
        <x:v>ТОКОПРОВОД</x:v>
      </x:c>
      <x:c r="D117" s="36"/>
      <x:c r="E117" s="41" t="str">
        <x:v>производство, цех №2</x:v>
      </x:c>
      <x:c r="F117" s="40" t="str">
        <x:v>2</x:v>
      </x:c>
      <x:c r="G117" s="41" t="str">
        <x:v>система пожарной сигнализации цех №2 , аванс на материалы</x:v>
      </x:c>
      <x:c r="H117" s="42" t="n">
        <x:v>788060</x:v>
      </x:c>
      <x:c r="I117" s="42" t="n">
        <x:v>0</x:v>
      </x:c>
      <x:c r="J117" s="39" t="n">
        <x:v>788060</x:v>
      </x:c>
    </x:row>
    <x:row r="118" ht="39" customHeight="1">
      <x:c r="A118" s="33" t="n">
        <x:v>12</x:v>
      </x:c>
      <x:c r="B118" s="32" t="str">
        <x:v>ИП Моисеев Александр Иванович</x:v>
      </x:c>
      <x:c r="C118" s="32" t="str">
        <x:v>ГЛАВПРОЕКТ</x:v>
      </x:c>
      <x:c r="D118" s="36"/>
      <x:c r="E118" s="32" t="str">
        <x:v>пожарная сигнализация</x:v>
      </x:c>
      <x:c r="F118" s="33"/>
      <x:c r="G118" s="32" t="str">
        <x:v>задолженность по итогам 2025 г</x:v>
      </x:c>
      <x:c r="H118" s="38" t="n">
        <x:v>254470</x:v>
      </x:c>
      <x:c r="I118" s="38" t="n">
        <x:v>20000</x:v>
      </x:c>
      <x:c r="J118" s="39" t="n">
        <x:v>234470</x:v>
      </x:c>
    </x:row>
    <x:row r="119" ht="39" customHeight="1">
      <x:c r="A119" s="40" t="n">
        <x:v>15</x:v>
      </x:c>
      <x:c r="B119" s="41" t="str">
        <x:v>ТЕХНОЛОГИИ БУДУЩЕГО</x:v>
      </x:c>
      <x:c r="C119" s="41" t="str">
        <x:v>МК-ИНЖИНИРИНГ</x:v>
      </x:c>
      <x:c r="D119" s="36"/>
      <x:c r="E119" s="41" t="str">
        <x:v>производство</x:v>
      </x:c>
      <x:c r="F119" s="40"/>
      <x:c r="G119" s="41" t="str">
        <x:v>печатная головка к принтеру этикеток готовой продукции</x:v>
      </x:c>
      <x:c r="H119" s="42" t="n">
        <x:v>41609.37</x:v>
      </x:c>
      <x:c r="I119" s="42" t="n">
        <x:v>0</x:v>
      </x:c>
      <x:c r="J119" s="39" t="n">
        <x:v>41609.37</x:v>
      </x:c>
    </x:row>
    <x:row r="120" ht="27" customHeight="1">
      <x:c r="A120" s="26" t="str">
        <x:v>ТРАНСПОРТНЫЕ РАСХОДЫ</x:v>
      </x:c>
      <x:c r="B120" s="26"/>
      <x:c r="C120" s="26"/>
      <x:c r="D120" s="26"/>
      <x:c r="E120" s="26"/>
      <x:c r="F120" s="26"/>
      <x:c r="G120" s="26"/>
      <x:c r="H120" s="26"/>
      <x:c r="I120" s="27" t="str">
        <x:v>ИТОГО К ОПЛАТЕ</x:v>
      </x:c>
      <x:c r="J120" s="28" t="n">
        <x:f>SUM(J121:J132)</x:f>
        <x:v>1690000</x:v>
      </x:c>
    </x:row>
    <x:row r="121" ht="39" customHeight="1">
      <x:c r="A121" s="40" t="n">
        <x:v>1</x:v>
      </x:c>
      <x:c r="B121" s="41" t="str">
        <x:v>ИП БЫЧЕНКОВ</x:v>
      </x:c>
      <x:c r="C121" s="41" t="str">
        <x:v>ГЛАВПРОЕКТ</x:v>
      </x:c>
      <x:c r="D121" s="36"/>
      <x:c r="E121" s="41" t="str">
        <x:v>ремонта Транспорта</x:v>
      </x:c>
      <x:c r="F121" s="40"/>
      <x:c r="G121" s="41" t="str">
        <x:v>КПП на газель</x:v>
      </x:c>
      <x:c r="H121" s="42" t="n">
        <x:v>60000</x:v>
      </x:c>
      <x:c r="I121" s="42" t="n">
        <x:v>0</x:v>
      </x:c>
      <x:c r="J121" s="39" t="n">
        <x:v>60000</x:v>
      </x:c>
    </x:row>
    <x:row r="122" ht="39" customHeight="1">
      <x:c r="A122" s="33" t="n">
        <x:v>2</x:v>
      </x:c>
      <x:c r="B122" s="32" t="str">
        <x:v>ТЛК групп</x:v>
      </x:c>
      <x:c r="C122" s="32" t="str">
        <x:v>ГЛАВПРОЕКТ</x:v>
      </x:c>
      <x:c r="D122" s="36" t="n">
        <x:v>-546500</x:v>
      </x:c>
      <x:c r="E122" s="32" t="str">
        <x:v>готовая продукция</x:v>
      </x:c>
      <x:c r="F122" s="33"/>
      <x:c r="G122" s="32" t="str">
        <x:v>Доставка готовой продукции Нижний Новгород - RU, Ульяновск Счет на оплату № 54128 от 24.06.2026</x:v>
      </x:c>
      <x:c r="H122" s="38" t="n">
        <x:v>28000</x:v>
      </x:c>
      <x:c r="I122" s="38" t="n">
        <x:v>0</x:v>
      </x:c>
      <x:c r="J122" s="39" t="n">
        <x:v>28000</x:v>
      </x:c>
    </x:row>
    <x:row r="123" ht="39" customHeight="1">
      <x:c r="A123" s="40" t="n">
        <x:v>3</x:v>
      </x:c>
      <x:c r="B123" s="41" t="str">
        <x:v>ТЛК групп</x:v>
      </x:c>
      <x:c r="C123" s="41" t="str">
        <x:v>ГЛАВПРОЕКТ</x:v>
      </x:c>
      <x:c r="D123" s="36"/>
      <x:c r="E123" s="41" t="str">
        <x:v>ЦОД СТИ</x:v>
      </x:c>
      <x:c r="F123" s="40"/>
      <x:c r="G123" s="41" t="str">
        <x:v>Доставка ТМЦ Электросталь - RU, ВладимирСчет на оплату № 46159 от 09.06.2026</x:v>
      </x:c>
      <x:c r="H123" s="42" t="n">
        <x:v>39000</x:v>
      </x:c>
      <x:c r="I123" s="42" t="n">
        <x:v>0</x:v>
      </x:c>
      <x:c r="J123" s="39" t="n">
        <x:v>39000</x:v>
      </x:c>
    </x:row>
    <x:row r="124" ht="39" customHeight="1">
      <x:c r="A124" s="33" t="n">
        <x:v>4</x:v>
      </x:c>
      <x:c r="B124" s="32" t="str">
        <x:v>ТЛК групп</x:v>
      </x:c>
      <x:c r="C124" s="32" t="str">
        <x:v>ГЛАВПРОЕКТ</x:v>
      </x:c>
      <x:c r="D124" s="36"/>
      <x:c r="E124" s="32" t="str">
        <x:v>готовая продукция</x:v>
      </x:c>
      <x:c r="F124" s="33"/>
      <x:c r="G124" s="32" t="str">
        <x:v>Доставка готовой продукции Владими-березники Счет на оплату № 46154 от 05.06.2026</x:v>
      </x:c>
      <x:c r="H124" s="38" t="n">
        <x:v>112000</x:v>
      </x:c>
      <x:c r="I124" s="38" t="n">
        <x:v>0</x:v>
      </x:c>
      <x:c r="J124" s="39" t="n">
        <x:v>112000</x:v>
      </x:c>
    </x:row>
    <x:row r="125" ht="39" customHeight="1">
      <x:c r="A125" s="40" t="n">
        <x:v>5</x:v>
      </x:c>
      <x:c r="B125" s="41" t="str">
        <x:v>ТЛК групп</x:v>
      </x:c>
      <x:c r="C125" s="41" t="str">
        <x:v>ГЛАВПРОЕКТ</x:v>
      </x:c>
      <x:c r="D125" s="36"/>
      <x:c r="E125" s="41" t="str">
        <x:v>ЦОД СТИ</x:v>
      </x:c>
      <x:c r="F125" s="40"/>
      <x:c r="G125" s="41" t="str">
        <x:v>Доставка ТМЦ Белая-Калитва - RU, Вяткино Счет на оплату № 56416 от 26.06.2026</x:v>
      </x:c>
      <x:c r="H125" s="42" t="n">
        <x:v>133000</x:v>
      </x:c>
      <x:c r="I125" s="42" t="n">
        <x:v>0</x:v>
      </x:c>
      <x:c r="J125" s="39" t="n">
        <x:v>133000</x:v>
      </x:c>
    </x:row>
    <x:row r="126" ht="39" customHeight="1">
      <x:c r="A126" s="33" t="n">
        <x:v>6</x:v>
      </x:c>
      <x:c r="B126" s="32" t="str">
        <x:v>ТЛК групп</x:v>
      </x:c>
      <x:c r="C126" s="32" t="str">
        <x:v>ГЛАВПРОЕКТ</x:v>
      </x:c>
      <x:c r="D126" s="36"/>
      <x:c r="E126" s="32" t="str">
        <x:v>ВЕКТОР НИ</x:v>
      </x:c>
      <x:c r="F126" s="33"/>
      <x:c r="G126" s="32" t="str">
        <x:v>Доставка ТМЦ Белая-Калитва - RU, ВяткиноСчет на оплату № 54104 от 25.06.2026</x:v>
      </x:c>
      <x:c r="H126" s="38" t="n">
        <x:v>133000</x:v>
      </x:c>
      <x:c r="I126" s="38" t="n">
        <x:v>0</x:v>
      </x:c>
      <x:c r="J126" s="39" t="n">
        <x:v>133000</x:v>
      </x:c>
    </x:row>
    <x:row r="127" ht="39" customHeight="1">
      <x:c r="A127" s="40" t="n">
        <x:v>7</x:v>
      </x:c>
      <x:c r="B127" s="41" t="str">
        <x:v>ТЛК групп</x:v>
      </x:c>
      <x:c r="C127" s="41" t="str">
        <x:v>ГЛАВПРОЕКТ</x:v>
      </x:c>
      <x:c r="D127" s="36"/>
      <x:c r="E127" s="41" t="str">
        <x:v>Динская</x:v>
      </x:c>
      <x:c r="F127" s="40"/>
      <x:c r="G127" s="41" t="str">
        <x:v>Доставка лотка Рязань Динская Счет на оплату № 56419 от 01.07.2026</x:v>
      </x:c>
      <x:c r="H127" s="42" t="n">
        <x:v>136000</x:v>
      </x:c>
      <x:c r="I127" s="42" t="n">
        <x:v>0</x:v>
      </x:c>
      <x:c r="J127" s="39" t="n">
        <x:v>136000</x:v>
      </x:c>
    </x:row>
    <x:row r="128" ht="39" customHeight="1">
      <x:c r="A128" s="33" t="n">
        <x:v>8</x:v>
      </x:c>
      <x:c r="B128" s="32" t="str">
        <x:v>ТЛК групп</x:v>
      </x:c>
      <x:c r="C128" s="32" t="str">
        <x:v>ГЛАВПРОЕКТ</x:v>
      </x:c>
      <x:c r="D128" s="36"/>
      <x:c r="E128" s="32" t="str">
        <x:v>Детская больница</x:v>
      </x:c>
      <x:c r="F128" s="33"/>
      <x:c r="G128" s="32" t="str">
        <x:v>Доставка с объекта , Ульяновск - RU, ВладимирСчет на оплату № 56408 от 24.06.2026</x:v>
      </x:c>
      <x:c r="H128" s="38" t="n">
        <x:v>28000</x:v>
      </x:c>
      <x:c r="I128" s="38" t="n">
        <x:v>0</x:v>
      </x:c>
      <x:c r="J128" s="39" t="n">
        <x:v>28000</x:v>
      </x:c>
    </x:row>
    <x:row r="129" ht="39" customHeight="1">
      <x:c r="A129" s="40" t="n">
        <x:v>9</x:v>
      </x:c>
      <x:c r="B129" s="41" t="str">
        <x:v>КАРКАРЫЧ</x:v>
      </x:c>
      <x:c r="C129" s="41" t="str">
        <x:v>ГЛАВПРОЕКТ</x:v>
      </x:c>
      <x:c r="D129" s="36"/>
      <x:c r="E129" s="41" t="str">
        <x:v>ЦОД СТИ</x:v>
      </x:c>
      <x:c r="F129" s="40"/>
      <x:c r="G129" s="41" t="str">
        <x:v>Доставка ТМЦ Белая Калитва -Вяткино счет №91 от 03 08 2026</x:v>
      </x:c>
      <x:c r="H129" s="42" t="n">
        <x:v>135000</x:v>
      </x:c>
      <x:c r="I129" s="42" t="n">
        <x:v>0</x:v>
      </x:c>
      <x:c r="J129" s="39" t="n">
        <x:v>135000</x:v>
      </x:c>
    </x:row>
    <x:row r="130" ht="39" customHeight="1">
      <x:c r="A130" s="33" t="n">
        <x:v>10</x:v>
      </x:c>
      <x:c r="B130" s="32" t="str">
        <x:v>КАРКАРЫЧ</x:v>
      </x:c>
      <x:c r="C130" s="32" t="str">
        <x:v>ГЛАВПРОЕКТ</x:v>
      </x:c>
      <x:c r="D130" s="36"/>
      <x:c r="E130" s="32" t="str">
        <x:v>Тауклауд, каспи, газовый котёл.</x:v>
      </x:c>
      <x:c r="F130" s="33"/>
      <x:c r="G130" s="32" t="str">
        <x:v>Доставка готовой продукции Владими-березники Счет на оплату № 98 от 12 августа 2026 г</x:v>
      </x:c>
      <x:c r="H130" s="38" t="n">
        <x:v>198000</x:v>
      </x:c>
      <x:c r="I130" s="38" t="n">
        <x:v>0</x:v>
      </x:c>
      <x:c r="J130" s="39" t="n">
        <x:v>198000</x:v>
      </x:c>
    </x:row>
    <x:row r="131" ht="39" customHeight="1">
      <x:c r="A131" s="40" t="n">
        <x:v>11</x:v>
      </x:c>
      <x:c r="B131" s="41" t="str">
        <x:v>КЛИМОВ</x:v>
      </x:c>
      <x:c r="C131" s="41" t="str">
        <x:v>ГЛАВПРОЕКТ</x:v>
      </x:c>
      <x:c r="D131" s="36"/>
      <x:c r="E131" s="41" t="str">
        <x:v>перевозка работников</x:v>
      </x:c>
      <x:c r="F131" s="40"/>
      <x:c r="G131" s="41" t="str">
        <x:v>автобус Владимир июль</x:v>
      </x:c>
      <x:c r="H131" s="42" t="n">
        <x:v>436000</x:v>
      </x:c>
      <x:c r="I131" s="42" t="n">
        <x:v>0</x:v>
      </x:c>
      <x:c r="J131" s="39" t="n">
        <x:v>436000</x:v>
      </x:c>
    </x:row>
    <x:row r="132" ht="39" customHeight="1">
      <x:c r="A132" s="33" t="n">
        <x:v>12</x:v>
      </x:c>
      <x:c r="B132" s="32" t="str">
        <x:v>КЛИМЕНКО</x:v>
      </x:c>
      <x:c r="C132" s="32" t="str">
        <x:v>ГЛАВПРОЕКТ</x:v>
      </x:c>
      <x:c r="D132" s="36"/>
      <x:c r="E132" s="32" t="str">
        <x:v>перевозка работников</x:v>
      </x:c>
      <x:c r="F132" s="33"/>
      <x:c r="G132" s="32" t="str">
        <x:v>автобус КОЛЬЧУГИНО июль</x:v>
      </x:c>
      <x:c r="H132" s="38" t="n">
        <x:v>252000</x:v>
      </x:c>
      <x:c r="I132" s="38" t="n">
        <x:v>0</x:v>
      </x:c>
      <x:c r="J132" s="39" t="n">
        <x:v>252000</x:v>
      </x:c>
    </x:row>
  </x:sheetData>
  <x:mergeCells>
    <x:mergeCell ref="A1:J1"/>
    <x:mergeCell ref="A6:I6"/>
    <x:mergeCell ref="A7:H7"/>
    <x:mergeCell ref="A24:H24"/>
    <x:mergeCell ref="A41:H41"/>
    <x:mergeCell ref="A102:H102"/>
    <x:mergeCell ref="A106:H106"/>
    <x:mergeCell ref="A120:H120"/>
  </x:mergeCells>
  <x:pageMargins left="0.7" right="0.7" top="0.75" bottom="0.75" header="0.3" footer="0.3"/>
  <x:legacyDrawing xmlns:r="http://schemas.openxmlformats.org/officeDocument/2006/relationships" r:id="Rd4a2c94fba7b4a5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1" hidden="0" customWidth="1"/>
    <x:col min="3" max="3" width="24" hidden="0" customWidth="1"/>
    <x:col min="4" max="4" width="24" hidden="0" customWidth="1"/>
    <x:col min="5" max="5" width="17" hidden="0" customWidth="1"/>
    <x:col min="6" max="6" width="22" hidden="0" customWidth="1"/>
    <x:col min="7" max="7" width="13" hidden="0" customWidth="1"/>
    <x:col min="8" max="8" width="15" hidden="0" customWidth="1"/>
    <x:col min="9" max="9" width="48" hidden="0" customWidth="1"/>
  </x:cols>
  <x:sheetData>
    <x:row r="1">
      <x:c r="A1" s="4" t="str">
        <x:v>СОПОСТАВЛЕНИЕ ПОСТАВЩИКОВ И ПЛАТЕЛЬЩИКОВ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7" t="str">
        <x:v>Автоматически применены только точные нормализованные совпадения. Сальдо отражено один раз — в первой строке пары.</x:v>
      </x:c>
      <x:c r="B2" s="47"/>
      <x:c r="C2" s="47"/>
      <x:c r="D2" s="47"/>
      <x:c r="E2" s="47"/>
      <x:c r="F2" s="47"/>
      <x:c r="G2" s="47"/>
      <x:c r="H2" s="47"/>
      <x:c r="I2" s="47"/>
    </x:row>
    <x:row r="4" ht="36" customHeight="1">
      <x:c r="A4" s="15" t="str">
        <x:v>Поставщик в реестре</x:v>
      </x:c>
      <x:c r="B4" s="15" t="str">
        <x:v>Плательщик в реестре</x:v>
      </x:c>
      <x:c r="C4" s="15" t="str">
        <x:v>Поставщик в сальдо</x:v>
      </x:c>
      <x:c r="D4" s="15" t="str">
        <x:v>Плательщик в сальдо</x:v>
      </x:c>
      <x:c r="E4" s="15" t="str">
        <x:v>Конечное сальдо</x:v>
      </x:c>
      <x:c r="F4" s="15" t="str">
        <x:v>Статус</x:v>
      </x:c>
      <x:c r="G4" s="15" t="str">
        <x:v>Уверенность</x:v>
      </x:c>
      <x:c r="H4" s="15" t="str">
        <x:v>Строка источника сальдо</x:v>
      </x:c>
      <x:c r="I4" s="15" t="str">
        <x:v>Комментарий</x:v>
      </x:c>
    </x:row>
    <x:row r="5" ht="30" customHeight="1">
      <x:c r="A5" s="60" t="str">
        <x:v>БК-АЛПРОФ</x:v>
      </x:c>
      <x:c r="B5" s="60" t="str">
        <x:v>ВР логистик</x:v>
      </x:c>
      <x:c r="C5" s="60" t="str">
        <x:v>БК Алпроф</x:v>
      </x:c>
      <x:c r="D5" s="60" t="str">
        <x:v>ВР - ЛОГИСТИК ООО</x:v>
      </x:c>
      <x:c r="E5" s="61" t="n">
        <x:v>-6606744.55</x:v>
      </x:c>
      <x:c r="F5" s="62" t="str">
        <x:v>Добавлено пользователем</x:v>
      </x:c>
      <x:c r="G5" s="60" t="str">
        <x:v>Высокая</x:v>
      </x:c>
      <x:c r="H5" s="60"/>
      <x:c r="I5" s="60" t="str">
        <x:v>Данные пользователя от 13.08.2026; долг плательщика поставщику отражён отрицательным числом, красным цветом в скобках.</x:v>
      </x:c>
    </x:row>
    <x:row r="6" ht="30" customHeight="1">
      <x:c r="A6" s="55" t="str">
        <x:v>БК-АЛПРОФ</x:v>
      </x:c>
      <x:c r="B6" s="55" t="str">
        <x:v>ВР логистик</x:v>
      </x:c>
      <x:c r="C6" s="55" t="str">
        <x:v>БК Алпроф</x:v>
      </x:c>
      <x:c r="D6" s="55" t="str">
        <x:v>ВР - ЛОГИСТИК ООО</x:v>
      </x:c>
      <x:c r="E6" s="58"/>
      <x:c r="F6" s="63" t="str">
        <x:v>Сопоставлено; повтор</x:v>
      </x:c>
      <x:c r="G6" s="55" t="str">
        <x:v>Высокая</x:v>
      </x:c>
      <x:c r="H6" s="55"/>
      <x:c r="I6" s="55" t="str">
        <x:v>Сальдо уже указано в первой строке этой пары.</x:v>
      </x:c>
    </x:row>
    <x:row r="7" ht="30" customHeight="1">
      <x:c r="A7" s="64" t="str">
        <x:v>БК-АЛПРОФ</x:v>
      </x:c>
      <x:c r="B7" s="64" t="str">
        <x:v>НПК Технопрогресс</x:v>
      </x:c>
      <x:c r="C7" s="64" t="str">
        <x:v>БК Алпроф</x:v>
      </x:c>
      <x:c r="D7" s="64" t="str">
        <x:v>НПК ТЕХНОПРОГРЕСС ООО</x:v>
      </x:c>
      <x:c r="E7" s="65" t="n">
        <x:v>-2065032.92</x:v>
      </x:c>
      <x:c r="F7" s="63" t="str">
        <x:v>Добавлено пользователем</x:v>
      </x:c>
      <x:c r="G7" s="64" t="str">
        <x:v>Высокая</x:v>
      </x:c>
      <x:c r="H7" s="64"/>
      <x:c r="I7" s="64" t="str">
        <x:v>Данные пользователя от 13.08.2026; долг плательщика поставщику отражён отрицательным числом, красным цветом в скобках.</x:v>
      </x:c>
    </x:row>
    <x:row r="8" ht="30" customHeight="1">
      <x:c r="A8" s="55" t="str">
        <x:v>М Т Х</x:v>
      </x:c>
      <x:c r="B8" s="55" t="str">
        <x:v>НПК Технопрогресс</x:v>
      </x:c>
      <x:c r="C8" s="55" t="str">
        <x:v>МТХ ООО</x:v>
      </x:c>
      <x:c r="D8" s="55" t="str">
        <x:v>НПК ТЕХНОПРОГРЕСС ООО</x:v>
      </x:c>
      <x:c r="E8" s="58" t="n">
        <x:v>-1580620.24</x:v>
      </x:c>
      <x:c r="F8" s="63" t="str">
        <x:v>Сопоставлено</x:v>
      </x:c>
      <x:c r="G8" s="55" t="str">
        <x:v>Высокая</x:v>
      </x:c>
      <x:c r="H8" s="55" t="n">
        <x:v>233</x:v>
      </x:c>
      <x:c r="I8" s="55" t="str">
        <x:v>Точное нормализованное совпадение пары.</x:v>
      </x:c>
    </x:row>
    <x:row r="9" ht="30" customHeight="1">
      <x:c r="A9" s="64" t="str">
        <x:v>АЛЬФА-МЕТАЛЛ</x:v>
      </x:c>
      <x:c r="B9" s="64" t="str">
        <x:v>ТОКОПРОВОД</x:v>
      </x:c>
      <x:c r="C9" s="64"/>
      <x:c r="D9" s="64"/>
      <x:c r="E9" s="65"/>
      <x:c r="F9" s="66" t="str">
        <x:v>Пара не найдена</x:v>
      </x:c>
      <x:c r="G9" s="64" t="str">
        <x:v>Низкая</x:v>
      </x:c>
      <x:c r="H9" s="64"/>
      <x:c r="I9" s="64" t="str">
        <x:v>Сальдо оставлено пустым: точное совпадение не найдено, догадки не применялись.</x:v>
      </x:c>
    </x:row>
    <x:row r="10" ht="30" customHeight="1">
      <x:c r="A10" s="55" t="str">
        <x:v>АЛЬФА-МЕТАЛЛ</x:v>
      </x:c>
      <x:c r="B10" s="55" t="str">
        <x:v>ТОКОПРОВОД</x:v>
      </x:c>
      <x:c r="C10" s="55"/>
      <x:c r="D10" s="55"/>
      <x:c r="E10" s="58"/>
      <x:c r="F10" s="66" t="str">
        <x:v>Пара не найдена</x:v>
      </x:c>
      <x:c r="G10" s="55" t="str">
        <x:v>Низкая</x:v>
      </x:c>
      <x:c r="H10" s="55"/>
      <x:c r="I10" s="55" t="str">
        <x:v>Сальдо оставлено пустым: точное совпадение не найдено, догадки не применялись.</x:v>
      </x:c>
    </x:row>
    <x:row r="11" ht="30" customHeight="1">
      <x:c r="A11" s="64" t="str">
        <x:v>АЛЬФА-МЕТАЛЛ</x:v>
      </x:c>
      <x:c r="B11" s="64" t="str">
        <x:v>ТОКОПРОВОД</x:v>
      </x:c>
      <x:c r="C11" s="64"/>
      <x:c r="D11" s="64"/>
      <x:c r="E11" s="65"/>
      <x:c r="F11" s="66" t="str">
        <x:v>Пара не найдена</x:v>
      </x:c>
      <x:c r="G11" s="64" t="str">
        <x:v>Низкая</x:v>
      </x:c>
      <x:c r="H11" s="64"/>
      <x:c r="I11" s="64" t="str">
        <x:v>Сальдо оставлено пустым: точное совпадение не найдено, догадки не применялись.</x:v>
      </x:c>
    </x:row>
    <x:row r="12" ht="30" customHeight="1">
      <x:c r="A12" s="55" t="str">
        <x:v>ТЕХНОПЛАСТ33</x:v>
      </x:c>
      <x:c r="B12" s="55" t="str">
        <x:v>НПК Технопрогресс</x:v>
      </x:c>
      <x:c r="C12" s="55" t="str">
        <x:v>ТЕХНОПЛАСТ33 ООО</x:v>
      </x:c>
      <x:c r="D12" s="55" t="str">
        <x:v>НПК ТЕХНОПРОГРЕСС ООО</x:v>
      </x:c>
      <x:c r="E12" s="58" t="n">
        <x:v>-129093.04</x:v>
      </x:c>
      <x:c r="F12" s="63" t="str">
        <x:v>Сопоставлено</x:v>
      </x:c>
      <x:c r="G12" s="55" t="str">
        <x:v>Высокая</x:v>
      </x:c>
      <x:c r="H12" s="55" t="n">
        <x:v>239</x:v>
      </x:c>
      <x:c r="I12" s="55" t="str">
        <x:v>Точное нормализованное совпадение пары.</x:v>
      </x:c>
    </x:row>
    <x:row r="13" ht="30" customHeight="1">
      <x:c r="A13" s="64" t="str">
        <x:v>ТЕХНОПЛАСТ33</x:v>
      </x:c>
      <x:c r="B13" s="64" t="str">
        <x:v>МК ИНЖИНИРИНГ</x:v>
      </x:c>
      <x:c r="C13" s="64" t="str">
        <x:v>ТЕХНОПЛАСТ33 ООО</x:v>
      </x:c>
      <x:c r="D13" s="64" t="str">
        <x:v>МК-ИНЖИНИРИНГ ООО</x:v>
      </x:c>
      <x:c r="E13" s="65" t="n">
        <x:v>-339307.32</x:v>
      </x:c>
      <x:c r="F13" s="63" t="str">
        <x:v>Сопоставлено</x:v>
      </x:c>
      <x:c r="G13" s="64" t="str">
        <x:v>Высокая</x:v>
      </x:c>
      <x:c r="H13" s="64" t="n">
        <x:v>209</x:v>
      </x:c>
      <x:c r="I13" s="64" t="str">
        <x:v>Точное нормализованное совпадение пары.</x:v>
      </x:c>
    </x:row>
    <x:row r="14" ht="30" customHeight="1">
      <x:c r="A14" s="55" t="str">
        <x:v>ТЕХНОПЛАСТ33</x:v>
      </x:c>
      <x:c r="B14" s="55" t="str">
        <x:v>ГЛАВПРОЕКТ</x:v>
      </x:c>
      <x:c r="C14" s="55" t="str">
        <x:v>ТЕХНОПЛАСТ33 ООО</x:v>
      </x:c>
      <x:c r="D14" s="55" t="str">
        <x:v>ГЛАВПРОЕКТ ООО</x:v>
      </x:c>
      <x:c r="E14" s="58" t="n">
        <x:v>-0.01</x:v>
      </x:c>
      <x:c r="F14" s="63" t="str">
        <x:v>Сопоставлено</x:v>
      </x:c>
      <x:c r="G14" s="55" t="str">
        <x:v>Высокая</x:v>
      </x:c>
      <x:c r="H14" s="55" t="n">
        <x:v>133</x:v>
      </x:c>
      <x:c r="I14" s="55" t="str">
        <x:v>Точное нормализованное совпадение пары.</x:v>
      </x:c>
    </x:row>
    <x:row r="15" ht="30" customHeight="1">
      <x:c r="A15" s="64" t="str">
        <x:v>ТЕХНОПЛАСТ33</x:v>
      </x:c>
      <x:c r="B15" s="64" t="str">
        <x:v>ГЛАВПРОЕКТ</x:v>
      </x:c>
      <x:c r="C15" s="64" t="str">
        <x:v>ТЕХНОПЛАСТ33 ООО</x:v>
      </x:c>
      <x:c r="D15" s="64" t="str">
        <x:v>ГЛАВПРОЕКТ ООО</x:v>
      </x:c>
      <x:c r="E15" s="65"/>
      <x:c r="F15" s="63" t="str">
        <x:v>Сопоставлено; повтор</x:v>
      </x:c>
      <x:c r="G15" s="64" t="str">
        <x:v>Высокая</x:v>
      </x:c>
      <x:c r="H15" s="64" t="n">
        <x:v>133</x:v>
      </x:c>
      <x:c r="I15" s="64" t="str">
        <x:v>Сальдо уже указано в первой строке этой пары.</x:v>
      </x:c>
    </x:row>
    <x:row r="16" ht="30" customHeight="1">
      <x:c r="A16" s="55" t="str">
        <x:v>ЦЕНТАВР</x:v>
      </x:c>
      <x:c r="B16" s="55" t="str">
        <x:v>ТОКОПРОВОД</x:v>
      </x:c>
      <x:c r="C16" s="55"/>
      <x:c r="D16" s="55"/>
      <x:c r="E16" s="58" t="n">
        <x:v>-55870</x:v>
      </x:c>
      <x:c r="F16" s="63" t="str">
        <x:v>Сопоставлено</x:v>
      </x:c>
      <x:c r="G16" s="55" t="str">
        <x:v>Высокая</x:v>
      </x:c>
      <x:c r="H16" s="55"/>
      <x:c r="I16" s="55" t="str">
        <x:v>Точное нормализованное совпадение пары.</x:v>
      </x:c>
    </x:row>
    <x:row r="17" ht="30" customHeight="1">
      <x:c r="A17" s="64" t="str">
        <x:v>МИРОТЭК</x:v>
      </x:c>
      <x:c r="B17" s="64" t="str">
        <x:v>НПК Технопрогресс</x:v>
      </x:c>
      <x:c r="C17" s="64"/>
      <x:c r="D17" s="64"/>
      <x:c r="E17" s="65"/>
      <x:c r="F17" s="66" t="str">
        <x:v>Пара не найдена</x:v>
      </x:c>
      <x:c r="G17" s="64" t="str">
        <x:v>Низкая</x:v>
      </x:c>
      <x:c r="H17" s="64"/>
      <x:c r="I17" s="64" t="str">
        <x:v>Сальдо оставлено пустым: точное совпадение не найдено, догадки не применялись.</x:v>
      </x:c>
    </x:row>
    <x:row r="18" ht="30" customHeight="1">
      <x:c r="A18" s="55" t="str">
        <x:v>МИРОТЭК</x:v>
      </x:c>
      <x:c r="B18" s="55" t="str">
        <x:v>МК ИНЖИНИРИНГ</x:v>
      </x:c>
      <x:c r="C18" s="55"/>
      <x:c r="D18" s="55"/>
      <x:c r="E18" s="58"/>
      <x:c r="F18" s="66" t="str">
        <x:v>Пара не найдена</x:v>
      </x:c>
      <x:c r="G18" s="55" t="str">
        <x:v>Низкая</x:v>
      </x:c>
      <x:c r="H18" s="55"/>
      <x:c r="I18" s="55" t="str">
        <x:v>Сальдо оставлено пустым: точное совпадение не найдено, догадки не применялись.</x:v>
      </x:c>
    </x:row>
    <x:row r="19" ht="30" customHeight="1">
      <x:c r="A19" s="64" t="str">
        <x:v>МИРОТЭК</x:v>
      </x:c>
      <x:c r="B19" s="64" t="str">
        <x:v>ГЛАВПРОЕКТ</x:v>
      </x:c>
      <x:c r="C19" s="64"/>
      <x:c r="D19" s="64"/>
      <x:c r="E19" s="65"/>
      <x:c r="F19" s="66" t="str">
        <x:v>Пара не найдена</x:v>
      </x:c>
      <x:c r="G19" s="64" t="str">
        <x:v>Низкая</x:v>
      </x:c>
      <x:c r="H19" s="64"/>
      <x:c r="I19" s="64" t="str">
        <x:v>Сальдо оставлено пустым: точное совпадение не найдено, догадки не применялись.</x:v>
      </x:c>
    </x:row>
    <x:row r="20" ht="30" customHeight="1">
      <x:c r="A20" s="55" t="str">
        <x:v>ПромЦветМет</x:v>
      </x:c>
      <x:c r="B20" s="55" t="str">
        <x:v>ТОКОПРОВОД</x:v>
      </x:c>
      <x:c r="C20" s="55"/>
      <x:c r="D20" s="55"/>
      <x:c r="E20" s="58"/>
      <x:c r="F20" s="66" t="str">
        <x:v>Пара не найдена</x:v>
      </x:c>
      <x:c r="G20" s="55" t="str">
        <x:v>Низкая</x:v>
      </x:c>
      <x:c r="H20" s="55"/>
      <x:c r="I20" s="55" t="str">
        <x:v>Сальдо оставлено пустым: точное совпадение не найдено, догадки не применялись.</x:v>
      </x:c>
    </x:row>
    <x:row r="21" ht="30" customHeight="1">
      <x:c r="A21" s="64" t="str">
        <x:v>ЗАВОД Н М Т</x:v>
      </x:c>
      <x:c r="B21" s="64" t="str">
        <x:v>ТОКОПРОВОД</x:v>
      </x:c>
      <x:c r="C21" s="64"/>
      <x:c r="D21" s="64"/>
      <x:c r="E21" s="65"/>
      <x:c r="F21" s="66" t="str">
        <x:v>Пара не найдена</x:v>
      </x:c>
      <x:c r="G21" s="64" t="str">
        <x:v>Низкая</x:v>
      </x:c>
      <x:c r="H21" s="64"/>
      <x:c r="I21" s="64" t="str">
        <x:v>Сальдо оставлено пустым: точное совпадение не найдено, догадки не применялись.</x:v>
      </x:c>
    </x:row>
    <x:row r="22" ht="30" customHeight="1">
      <x:c r="A22" s="55" t="str">
        <x:v>ЗАВОД Н М Т</x:v>
      </x:c>
      <x:c r="B22" s="55" t="str">
        <x:v>ТОКОПРОВОД</x:v>
      </x:c>
      <x:c r="C22" s="55"/>
      <x:c r="D22" s="55"/>
      <x:c r="E22" s="58"/>
      <x:c r="F22" s="66" t="str">
        <x:v>Пара не найдена</x:v>
      </x:c>
      <x:c r="G22" s="55" t="str">
        <x:v>Низкая</x:v>
      </x:c>
      <x:c r="H22" s="55"/>
      <x:c r="I22" s="55" t="str">
        <x:v>Сальдо оставлено пустым: точное совпадение не найдено, догадки не применялись.</x:v>
      </x:c>
    </x:row>
    <x:row r="23" ht="30" customHeight="1">
      <x:c r="A23" s="64" t="str">
        <x:v>БК-АЛПРОФ</x:v>
      </x:c>
      <x:c r="B23" s="64" t="str">
        <x:v>ТОКОПРОВОД</x:v>
      </x:c>
      <x:c r="C23" s="64"/>
      <x:c r="D23" s="64"/>
      <x:c r="E23" s="65"/>
      <x:c r="F23" s="66" t="str">
        <x:v>Пара не найдена</x:v>
      </x:c>
      <x:c r="G23" s="64" t="str">
        <x:v>Низкая</x:v>
      </x:c>
      <x:c r="H23" s="64"/>
      <x:c r="I23" s="64" t="str">
        <x:v>Сальдо оставлено пустым: точное совпадение не найдено, догадки не применялись.</x:v>
      </x:c>
    </x:row>
    <x:row r="24" ht="30" customHeight="1">
      <x:c r="A24" s="55" t="str">
        <x:v>БК-АЛПРОФ</x:v>
      </x:c>
      <x:c r="B24" s="55" t="str">
        <x:v>ТОКОПРОВОД</x:v>
      </x:c>
      <x:c r="C24" s="55"/>
      <x:c r="D24" s="55"/>
      <x:c r="E24" s="58"/>
      <x:c r="F24" s="66" t="str">
        <x:v>Пара не найдена</x:v>
      </x:c>
      <x:c r="G24" s="55" t="str">
        <x:v>Низкая</x:v>
      </x:c>
      <x:c r="H24" s="55"/>
      <x:c r="I24" s="55" t="str">
        <x:v>Сальдо оставлено пустым: точное совпадение не найдено, догадки не применялись.</x:v>
      </x:c>
    </x:row>
    <x:row r="25" ht="30" customHeight="1">
      <x:c r="A25" s="64" t="str">
        <x:v>БК-АЛПРОФ</x:v>
      </x:c>
      <x:c r="B25" s="64" t="str">
        <x:v>ТОКОПРОВОД</x:v>
      </x:c>
      <x:c r="C25" s="64"/>
      <x:c r="D25" s="64"/>
      <x:c r="E25" s="65"/>
      <x:c r="F25" s="66" t="str">
        <x:v>Пара не найдена</x:v>
      </x:c>
      <x:c r="G25" s="64" t="str">
        <x:v>Низкая</x:v>
      </x:c>
      <x:c r="H25" s="64"/>
      <x:c r="I25" s="64" t="str">
        <x:v>Сальдо оставлено пустым: точное совпадение не найдено, догадки не применялись.</x:v>
      </x:c>
    </x:row>
    <x:row r="26" ht="30" customHeight="1">
      <x:c r="A26" s="55" t="str">
        <x:v>БК-АЛПРОФ</x:v>
      </x:c>
      <x:c r="B26" s="55" t="str">
        <x:v>ТОКОПРОВОД</x:v>
      </x:c>
      <x:c r="C26" s="55"/>
      <x:c r="D26" s="55"/>
      <x:c r="E26" s="58"/>
      <x:c r="F26" s="66" t="str">
        <x:v>Пара не найдена</x:v>
      </x:c>
      <x:c r="G26" s="55" t="str">
        <x:v>Низкая</x:v>
      </x:c>
      <x:c r="H26" s="55"/>
      <x:c r="I26" s="55" t="str">
        <x:v>Сальдо оставлено пустым: точное совпадение не найдено, догадки не применялись.</x:v>
      </x:c>
    </x:row>
    <x:row r="27" ht="30" customHeight="1">
      <x:c r="A27" s="64" t="str">
        <x:v>БК-АЛПРОФ</x:v>
      </x:c>
      <x:c r="B27" s="64" t="str">
        <x:v>МК ИНЖИНИРИНГ</x:v>
      </x:c>
      <x:c r="C27" s="64"/>
      <x:c r="D27" s="64"/>
      <x:c r="E27" s="65"/>
      <x:c r="F27" s="66" t="str">
        <x:v>Пара не найдена</x:v>
      </x:c>
      <x:c r="G27" s="64" t="str">
        <x:v>Низкая</x:v>
      </x:c>
      <x:c r="H27" s="64"/>
      <x:c r="I27" s="64" t="str">
        <x:v>Сальдо оставлено пустым: точное совпадение не найдено, догадки не применялись.</x:v>
      </x:c>
    </x:row>
    <x:row r="28" ht="30" customHeight="1">
      <x:c r="A28" s="55" t="str">
        <x:v>БК-АЛПРОФ</x:v>
      </x:c>
      <x:c r="B28" s="55" t="str">
        <x:v>МК ИНЖИНИРИНГ</x:v>
      </x:c>
      <x:c r="C28" s="55"/>
      <x:c r="D28" s="55"/>
      <x:c r="E28" s="58"/>
      <x:c r="F28" s="66" t="str">
        <x:v>Пара не найдена</x:v>
      </x:c>
      <x:c r="G28" s="55" t="str">
        <x:v>Низкая</x:v>
      </x:c>
      <x:c r="H28" s="55"/>
      <x:c r="I28" s="55" t="str">
        <x:v>Сальдо оставлено пустым: точное совпадение не найдено, догадки не применялись.</x:v>
      </x:c>
    </x:row>
    <x:row r="29" ht="30" customHeight="1">
      <x:c r="A29" s="64" t="str">
        <x:v>БК-АЛПРОФ</x:v>
      </x:c>
      <x:c r="B29" s="64" t="str">
        <x:v>ТОКОПРОВОД</x:v>
      </x:c>
      <x:c r="C29" s="64"/>
      <x:c r="D29" s="64"/>
      <x:c r="E29" s="65"/>
      <x:c r="F29" s="66" t="str">
        <x:v>Пара не найдена</x:v>
      </x:c>
      <x:c r="G29" s="64" t="str">
        <x:v>Низкая</x:v>
      </x:c>
      <x:c r="H29" s="64"/>
      <x:c r="I29" s="64" t="str">
        <x:v>Сальдо оставлено пустым: точное совпадение не найдено, догадки не применялись.</x:v>
      </x:c>
    </x:row>
    <x:row r="30" ht="30" customHeight="1">
      <x:c r="A30" s="55" t="str">
        <x:v>БК-АЛПРОФ</x:v>
      </x:c>
      <x:c r="B30" s="55" t="str">
        <x:v>ТОКОПРОВОД</x:v>
      </x:c>
      <x:c r="C30" s="55"/>
      <x:c r="D30" s="55"/>
      <x:c r="E30" s="58"/>
      <x:c r="F30" s="66" t="str">
        <x:v>Пара не найдена</x:v>
      </x:c>
      <x:c r="G30" s="55" t="str">
        <x:v>Низкая</x:v>
      </x:c>
      <x:c r="H30" s="55"/>
      <x:c r="I30" s="55" t="str">
        <x:v>Сальдо оставлено пустым: точное совпадение не найдено, догадки не применялись.</x:v>
      </x:c>
    </x:row>
    <x:row r="31" ht="30" customHeight="1">
      <x:c r="A31" s="64" t="str">
        <x:v>БК-АЛПРОФ</x:v>
      </x:c>
      <x:c r="B31" s="64" t="str">
        <x:v>ТОКОПРОВОД</x:v>
      </x:c>
      <x:c r="C31" s="64"/>
      <x:c r="D31" s="64"/>
      <x:c r="E31" s="65"/>
      <x:c r="F31" s="66" t="str">
        <x:v>Пара не найдена</x:v>
      </x:c>
      <x:c r="G31" s="64" t="str">
        <x:v>Низкая</x:v>
      </x:c>
      <x:c r="H31" s="64"/>
      <x:c r="I31" s="64" t="str">
        <x:v>Сальдо оставлено пустым: точное совпадение не найдено, догадки не применялись.</x:v>
      </x:c>
    </x:row>
    <x:row r="32" ht="30" customHeight="1">
      <x:c r="A32" s="55" t="str">
        <x:v>БК-АЛПРОФ</x:v>
      </x:c>
      <x:c r="B32" s="55" t="str">
        <x:v>МК ИНЖИНИРИНГ</x:v>
      </x:c>
      <x:c r="C32" s="55"/>
      <x:c r="D32" s="55"/>
      <x:c r="E32" s="58"/>
      <x:c r="F32" s="66" t="str">
        <x:v>Пара не найдена</x:v>
      </x:c>
      <x:c r="G32" s="55" t="str">
        <x:v>Низкая</x:v>
      </x:c>
      <x:c r="H32" s="55"/>
      <x:c r="I32" s="55" t="str">
        <x:v>Сальдо оставлено пустым: точное совпадение не найдено, догадки не применялись.</x:v>
      </x:c>
    </x:row>
    <x:row r="33" ht="30" customHeight="1">
      <x:c r="A33" s="64" t="str">
        <x:v>ЦОМ МОСТ-1 ООО</x:v>
      </x:c>
      <x:c r="B33" s="64" t="str">
        <x:v>ГЛАВПРОЕКТ спец</x:v>
      </x:c>
      <x:c r="C33" s="64"/>
      <x:c r="D33" s="64"/>
      <x:c r="E33" s="65"/>
      <x:c r="F33" s="66" t="str">
        <x:v>Пара не найдена</x:v>
      </x:c>
      <x:c r="G33" s="64" t="str">
        <x:v>Низкая</x:v>
      </x:c>
      <x:c r="H33" s="64"/>
      <x:c r="I33" s="64" t="str">
        <x:v>Сальдо оставлено пустым: точное совпадение не найдено, догадки не применялись.</x:v>
      </x:c>
    </x:row>
    <x:row r="34" ht="30" customHeight="1">
      <x:c r="A34" s="55" t="str">
        <x:v>М Т Х</x:v>
      </x:c>
      <x:c r="B34" s="55" t="str">
        <x:v>МК ИНЖИНИРИНГ</x:v>
      </x:c>
      <x:c r="C34" s="55"/>
      <x:c r="D34" s="55"/>
      <x:c r="E34" s="58"/>
      <x:c r="F34" s="66" t="str">
        <x:v>Пара не найдена</x:v>
      </x:c>
      <x:c r="G34" s="55" t="str">
        <x:v>Низкая</x:v>
      </x:c>
      <x:c r="H34" s="55"/>
      <x:c r="I34" s="55" t="str">
        <x:v>Сальдо оставлено пустым: точное совпадение не найдено, догадки не применялись.</x:v>
      </x:c>
    </x:row>
    <x:row r="35" ht="30" customHeight="1">
      <x:c r="A35" s="64" t="str">
        <x:v>М Т Х</x:v>
      </x:c>
      <x:c r="B35" s="64" t="str">
        <x:v>ТОКОПРОВОД</x:v>
      </x:c>
      <x:c r="C35" s="64"/>
      <x:c r="D35" s="64"/>
      <x:c r="E35" s="65"/>
      <x:c r="F35" s="66" t="str">
        <x:v>Пара не найдена</x:v>
      </x:c>
      <x:c r="G35" s="64" t="str">
        <x:v>Низкая</x:v>
      </x:c>
      <x:c r="H35" s="64"/>
      <x:c r="I35" s="64" t="str">
        <x:v>Сальдо оставлено пустым: точное совпадение не найдено, догадки не применялись.</x:v>
      </x:c>
    </x:row>
    <x:row r="36" ht="30" customHeight="1">
      <x:c r="A36" s="55" t="str">
        <x:v>МАШИНЕРИ групп</x:v>
      </x:c>
      <x:c r="B36" s="55" t="str">
        <x:v>ТОКОПРОВОД</x:v>
      </x:c>
      <x:c r="C36" s="55"/>
      <x:c r="D36" s="55"/>
      <x:c r="E36" s="58"/>
      <x:c r="F36" s="66" t="str">
        <x:v>Пара не найдена</x:v>
      </x:c>
      <x:c r="G36" s="55" t="str">
        <x:v>Низкая</x:v>
      </x:c>
      <x:c r="H36" s="55"/>
      <x:c r="I36" s="55" t="str">
        <x:v>Сальдо оставлено пустым: точное совпадение не найдено, догадки не применялись.</x:v>
      </x:c>
    </x:row>
    <x:row r="37" ht="30" customHeight="1">
      <x:c r="A37" s="64" t="str">
        <x:v>В Л К З</x:v>
      </x:c>
      <x:c r="B37" s="64" t="str">
        <x:v>ТОКОПРОВОД</x:v>
      </x:c>
      <x:c r="C37" s="64"/>
      <x:c r="D37" s="64"/>
      <x:c r="E37" s="65"/>
      <x:c r="F37" s="66" t="str">
        <x:v>Пара не найдена</x:v>
      </x:c>
      <x:c r="G37" s="64" t="str">
        <x:v>Низкая</x:v>
      </x:c>
      <x:c r="H37" s="64"/>
      <x:c r="I37" s="64" t="str">
        <x:v>Сальдо оставлено пустым: точное совпадение не найдено, догадки не применялись.</x:v>
      </x:c>
    </x:row>
    <x:row r="38" ht="30" customHeight="1">
      <x:c r="A38" s="55" t="str">
        <x:v>О Ц П Н</x:v>
      </x:c>
      <x:c r="B38" s="55" t="str">
        <x:v>МК ИНЖИНИРИНГ</x:v>
      </x:c>
      <x:c r="C38" s="55"/>
      <x:c r="D38" s="55"/>
      <x:c r="E38" s="58"/>
      <x:c r="F38" s="66" t="str">
        <x:v>Пара не найдена</x:v>
      </x:c>
      <x:c r="G38" s="55" t="str">
        <x:v>Низкая</x:v>
      </x:c>
      <x:c r="H38" s="55"/>
      <x:c r="I38" s="55" t="str">
        <x:v>Сальдо оставлено пустым: точное совпадение не найдено, догадки не применялись.</x:v>
      </x:c>
    </x:row>
    <x:row r="39" ht="30" customHeight="1">
      <x:c r="A39" s="64" t="str">
        <x:v>АЛЬФА-МЕТАЛЛ</x:v>
      </x:c>
      <x:c r="B39" s="64" t="str">
        <x:v>ТОКОПРОВОД</x:v>
      </x:c>
      <x:c r="C39" s="64"/>
      <x:c r="D39" s="64"/>
      <x:c r="E39" s="65"/>
      <x:c r="F39" s="66" t="str">
        <x:v>Пара не найдена</x:v>
      </x:c>
      <x:c r="G39" s="64" t="str">
        <x:v>Низкая</x:v>
      </x:c>
      <x:c r="H39" s="64"/>
      <x:c r="I39" s="64" t="str">
        <x:v>Сальдо оставлено пустым: точное совпадение не найдено, догадки не применялись.</x:v>
      </x:c>
    </x:row>
    <x:row r="40" ht="30" customHeight="1">
      <x:c r="A40" s="55" t="str">
        <x:v>ПромЦветМет//МОСТ</x:v>
      </x:c>
      <x:c r="B40" s="55" t="str">
        <x:v>ГЛАВПРОЕКТ</x:v>
      </x:c>
      <x:c r="C40" s="55"/>
      <x:c r="D40" s="55"/>
      <x:c r="E40" s="58"/>
      <x:c r="F40" s="66" t="str">
        <x:v>Пара не найдена</x:v>
      </x:c>
      <x:c r="G40" s="55" t="str">
        <x:v>Низкая</x:v>
      </x:c>
      <x:c r="H40" s="55"/>
      <x:c r="I40" s="55" t="str">
        <x:v>Сальдо оставлено пустым: точное совпадение не найдено, догадки не применялись.</x:v>
      </x:c>
    </x:row>
    <x:row r="41" ht="30" customHeight="1">
      <x:c r="A41" s="64" t="str">
        <x:v>ЦОМ МОСТ-1 ООО</x:v>
      </x:c>
      <x:c r="B41" s="64" t="str">
        <x:v>МК ИНЖИНИРИНГ</x:v>
      </x:c>
      <x:c r="C41" s="64"/>
      <x:c r="D41" s="64"/>
      <x:c r="E41" s="65"/>
      <x:c r="F41" s="66" t="str">
        <x:v>Пара не найдена</x:v>
      </x:c>
      <x:c r="G41" s="64" t="str">
        <x:v>Низкая</x:v>
      </x:c>
      <x:c r="H41" s="64"/>
      <x:c r="I41" s="64" t="str">
        <x:v>Сальдо оставлено пустым: точное совпадение не найдено, догадки не применялись.</x:v>
      </x:c>
    </x:row>
    <x:row r="42" ht="30" customHeight="1">
      <x:c r="A42" s="55" t="str">
        <x:v>ПромЦветМет//МОСТ //АЛЬФА</x:v>
      </x:c>
      <x:c r="B42" s="55" t="str">
        <x:v>ГЛАВПРОЕКТ</x:v>
      </x:c>
      <x:c r="C42" s="55"/>
      <x:c r="D42" s="55"/>
      <x:c r="E42" s="58"/>
      <x:c r="F42" s="66" t="str">
        <x:v>Пара не найдена</x:v>
      </x:c>
      <x:c r="G42" s="55" t="str">
        <x:v>Низкая</x:v>
      </x:c>
      <x:c r="H42" s="55"/>
      <x:c r="I42" s="55" t="str">
        <x:v>Сальдо оставлено пустым: точное совпадение не найдено, догадки не применялись.</x:v>
      </x:c>
    </x:row>
    <x:row r="43" ht="30" customHeight="1">
      <x:c r="A43" s="64" t="str">
        <x:v>ЭКОВЕРМ</x:v>
      </x:c>
      <x:c r="B43" s="64" t="str">
        <x:v>ГЛАВПРОЕКТ</x:v>
      </x:c>
      <x:c r="C43" s="64" t="str">
        <x:v>ЭКОВЕРМ ООО</x:v>
      </x:c>
      <x:c r="D43" s="64" t="str">
        <x:v>ГЛАВПРОЕКТ ООО</x:v>
      </x:c>
      <x:c r="E43" s="65" t="n">
        <x:v>63532</x:v>
      </x:c>
      <x:c r="F43" s="63" t="str">
        <x:v>Сопоставлено</x:v>
      </x:c>
      <x:c r="G43" s="64" t="str">
        <x:v>Высокая</x:v>
      </x:c>
      <x:c r="H43" s="64" t="n">
        <x:v>159</x:v>
      </x:c>
      <x:c r="I43" s="64" t="str">
        <x:v>Точное нормализованное совпадение пары.</x:v>
      </x:c>
    </x:row>
    <x:row r="44" ht="30" customHeight="1">
      <x:c r="A44" s="55" t="str">
        <x:v>ЦЕНТАВР</x:v>
      </x:c>
      <x:c r="B44" s="55" t="str">
        <x:v>ТОКОПРОВОД</x:v>
      </x:c>
      <x:c r="C44" s="55"/>
      <x:c r="D44" s="55"/>
      <x:c r="E44" s="58"/>
      <x:c r="F44" s="63" t="str">
        <x:v>Сопоставлено; повтор</x:v>
      </x:c>
      <x:c r="G44" s="55" t="str">
        <x:v>Высокая</x:v>
      </x:c>
      <x:c r="H44" s="55"/>
      <x:c r="I44" s="55" t="str">
        <x:v>Сальдо уже указано в первой строке этой пары.</x:v>
      </x:c>
    </x:row>
    <x:row r="45" ht="30" customHeight="1">
      <x:c r="A45" s="64" t="str">
        <x:v>ПромЦветМет//МОСТ //АЛЬФА</x:v>
      </x:c>
      <x:c r="B45" s="64" t="str">
        <x:v>ТОКОПРОВОД</x:v>
      </x:c>
      <x:c r="C45" s="64"/>
      <x:c r="D45" s="64"/>
      <x:c r="E45" s="65"/>
      <x:c r="F45" s="66" t="str">
        <x:v>Пара не найдена</x:v>
      </x:c>
      <x:c r="G45" s="64" t="str">
        <x:v>Низкая</x:v>
      </x:c>
      <x:c r="H45" s="64"/>
      <x:c r="I45" s="64" t="str">
        <x:v>Сальдо оставлено пустым: точное совпадение не найдено, догадки не применялись.</x:v>
      </x:c>
    </x:row>
    <x:row r="46" ht="30" customHeight="1">
      <x:c r="A46" s="55" t="str">
        <x:v>ПромЦветМет//МОСТ //АЛЬФА</x:v>
      </x:c>
      <x:c r="B46" s="55" t="str">
        <x:v>ТОКОПРОВОД</x:v>
      </x:c>
      <x:c r="C46" s="55"/>
      <x:c r="D46" s="55"/>
      <x:c r="E46" s="58"/>
      <x:c r="F46" s="66" t="str">
        <x:v>Пара не найдена</x:v>
      </x:c>
      <x:c r="G46" s="55" t="str">
        <x:v>Низкая</x:v>
      </x:c>
      <x:c r="H46" s="55"/>
      <x:c r="I46" s="55" t="str">
        <x:v>Сальдо оставлено пустым: точное совпадение не найдено, догадки не применялись.</x:v>
      </x:c>
    </x:row>
    <x:row r="47" ht="30" customHeight="1">
      <x:c r="A47" s="64" t="str">
        <x:v>ПромЦветМет//МОСТ //АЛЬФА</x:v>
      </x:c>
      <x:c r="B47" s="64" t="str">
        <x:v>ТОКОПРОВОД</x:v>
      </x:c>
      <x:c r="C47" s="64"/>
      <x:c r="D47" s="64"/>
      <x:c r="E47" s="65"/>
      <x:c r="F47" s="66" t="str">
        <x:v>Пара не найдена</x:v>
      </x:c>
      <x:c r="G47" s="64" t="str">
        <x:v>Низкая</x:v>
      </x:c>
      <x:c r="H47" s="64"/>
      <x:c r="I47" s="64" t="str">
        <x:v>Сальдо оставлено пустым: точное совпадение не найдено, догадки не применялись.</x:v>
      </x:c>
    </x:row>
    <x:row r="48" ht="30" customHeight="1">
      <x:c r="A48" s="55" t="str">
        <x:v>ЭКОВЕРМ</x:v>
      </x:c>
      <x:c r="B48" s="55" t="str">
        <x:v>ГЛАВПРОЕКТ</x:v>
      </x:c>
      <x:c r="C48" s="55" t="str">
        <x:v>ЭКОВЕРМ ООО</x:v>
      </x:c>
      <x:c r="D48" s="55" t="str">
        <x:v>ГЛАВПРОЕКТ ООО</x:v>
      </x:c>
      <x:c r="E48" s="58"/>
      <x:c r="F48" s="63" t="str">
        <x:v>Сопоставлено; повтор</x:v>
      </x:c>
      <x:c r="G48" s="55" t="str">
        <x:v>Высокая</x:v>
      </x:c>
      <x:c r="H48" s="55" t="n">
        <x:v>159</x:v>
      </x:c>
      <x:c r="I48" s="55" t="str">
        <x:v>Сальдо уже указано в первой строке этой пары.</x:v>
      </x:c>
    </x:row>
    <x:row r="49" ht="30" customHeight="1">
      <x:c r="A49" s="64" t="str">
        <x:v>ТЕХНОПЛАСТ33</x:v>
      </x:c>
      <x:c r="B49" s="64" t="str">
        <x:v>ГЛАВПРОЕКТ</x:v>
      </x:c>
      <x:c r="C49" s="64" t="str">
        <x:v>ТЕХНОПЛАСТ33 ООО</x:v>
      </x:c>
      <x:c r="D49" s="64" t="str">
        <x:v>ГЛАВПРОЕКТ ООО</x:v>
      </x:c>
      <x:c r="E49" s="65"/>
      <x:c r="F49" s="63" t="str">
        <x:v>Сопоставлено; повтор</x:v>
      </x:c>
      <x:c r="G49" s="64" t="str">
        <x:v>Высокая</x:v>
      </x:c>
      <x:c r="H49" s="64" t="n">
        <x:v>133</x:v>
      </x:c>
      <x:c r="I49" s="64" t="str">
        <x:v>Сальдо уже указано в первой строке этой пары.</x:v>
      </x:c>
    </x:row>
    <x:row r="50" ht="30" customHeight="1">
      <x:c r="A50" s="55" t="str">
        <x:v>ЦЕНТАВР</x:v>
      </x:c>
      <x:c r="B50" s="55" t="str">
        <x:v>ТОКОПРОВОД</x:v>
      </x:c>
      <x:c r="C50" s="55"/>
      <x:c r="D50" s="55"/>
      <x:c r="E50" s="58"/>
      <x:c r="F50" s="63" t="str">
        <x:v>Сопоставлено; повтор</x:v>
      </x:c>
      <x:c r="G50" s="55" t="str">
        <x:v>Высокая</x:v>
      </x:c>
      <x:c r="H50" s="55"/>
      <x:c r="I50" s="55" t="str">
        <x:v>Сальдо уже указано в первой строке этой пары.</x:v>
      </x:c>
    </x:row>
    <x:row r="51" ht="30" customHeight="1">
      <x:c r="A51" s="64" t="str">
        <x:v>ПромЦветМет//МОСТ //АЛЬФА</x:v>
      </x:c>
      <x:c r="B51" s="64" t="str">
        <x:v>ТОКОПРОВОД</x:v>
      </x:c>
      <x:c r="C51" s="64"/>
      <x:c r="D51" s="64"/>
      <x:c r="E51" s="65"/>
      <x:c r="F51" s="66" t="str">
        <x:v>Пара не найдена</x:v>
      </x:c>
      <x:c r="G51" s="64" t="str">
        <x:v>Низкая</x:v>
      </x:c>
      <x:c r="H51" s="64"/>
      <x:c r="I51" s="64" t="str">
        <x:v>Сальдо оставлено пустым: точное совпадение не найдено, догадки не применялись.</x:v>
      </x:c>
    </x:row>
    <x:row r="52" ht="30" customHeight="1">
      <x:c r="A52" s="55" t="str">
        <x:v>ЦЕНТАВР</x:v>
      </x:c>
      <x:c r="B52" s="55" t="str">
        <x:v>ТОКОПРОВОД</x:v>
      </x:c>
      <x:c r="C52" s="55"/>
      <x:c r="D52" s="55"/>
      <x:c r="E52" s="58"/>
      <x:c r="F52" s="63" t="str">
        <x:v>Сопоставлено; повтор</x:v>
      </x:c>
      <x:c r="G52" s="55" t="str">
        <x:v>Высокая</x:v>
      </x:c>
      <x:c r="H52" s="55"/>
      <x:c r="I52" s="55" t="str">
        <x:v>Сальдо уже указано в первой строке этой пары.</x:v>
      </x:c>
    </x:row>
    <x:row r="53" ht="30" customHeight="1">
      <x:c r="A53" s="64" t="str">
        <x:v>МИРОТЭК</x:v>
      </x:c>
      <x:c r="B53" s="64" t="str">
        <x:v>ТОКОПРОВОД</x:v>
      </x:c>
      <x:c r="C53" s="64"/>
      <x:c r="D53" s="64"/>
      <x:c r="E53" s="65"/>
      <x:c r="F53" s="66" t="str">
        <x:v>Пара не найдена</x:v>
      </x:c>
      <x:c r="G53" s="64" t="str">
        <x:v>Низкая</x:v>
      </x:c>
      <x:c r="H53" s="64"/>
      <x:c r="I53" s="64" t="str">
        <x:v>Сальдо оставлено пустым: точное совпадение не найдено, догадки не применялись.</x:v>
      </x:c>
    </x:row>
    <x:row r="54" ht="30" customHeight="1">
      <x:c r="A54" s="55" t="str">
        <x:v>О Ц П Н</x:v>
      </x:c>
      <x:c r="B54" s="55" t="str">
        <x:v>ТОКОПРОВОД</x:v>
      </x:c>
      <x:c r="C54" s="55"/>
      <x:c r="D54" s="55"/>
      <x:c r="E54" s="58"/>
      <x:c r="F54" s="66" t="str">
        <x:v>Пара не найдена</x:v>
      </x:c>
      <x:c r="G54" s="55" t="str">
        <x:v>Низкая</x:v>
      </x:c>
      <x:c r="H54" s="55"/>
      <x:c r="I54" s="55" t="str">
        <x:v>Сальдо оставлено пустым: точное совпадение не найдено, догадки не применялись.</x:v>
      </x:c>
    </x:row>
    <x:row r="55" ht="30" customHeight="1">
      <x:c r="A55" s="64" t="str">
        <x:v>Э Т М //рус свет</x:v>
      </x:c>
      <x:c r="B55" s="64" t="str">
        <x:v>ГЛАВПРОЕКТ</x:v>
      </x:c>
      <x:c r="C55" s="64"/>
      <x:c r="D55" s="64"/>
      <x:c r="E55" s="65"/>
      <x:c r="F55" s="66" t="str">
        <x:v>Пара не найдена</x:v>
      </x:c>
      <x:c r="G55" s="64" t="str">
        <x:v>Низкая</x:v>
      </x:c>
      <x:c r="H55" s="64"/>
      <x:c r="I55" s="64" t="str">
        <x:v>Сальдо оставлено пустым: точное совпадение не найдено, догадки не применялись.</x:v>
      </x:c>
    </x:row>
    <x:row r="56" ht="30" customHeight="1">
      <x:c r="A56" s="55" t="str">
        <x:v>ИП ЛИПСКИЙ 332909387853</x:v>
      </x:c>
      <x:c r="B56" s="55" t="str">
        <x:v>ТОКОПРОВОД</x:v>
      </x:c>
      <x:c r="C56" s="55"/>
      <x:c r="D56" s="55"/>
      <x:c r="E56" s="58"/>
      <x:c r="F56" s="66" t="str">
        <x:v>Пара не найдена</x:v>
      </x:c>
      <x:c r="G56" s="55" t="str">
        <x:v>Низкая</x:v>
      </x:c>
      <x:c r="H56" s="55"/>
      <x:c r="I56" s="55" t="str">
        <x:v>Сальдо оставлено пустым: точное совпадение не найдено, догадки не применялись.</x:v>
      </x:c>
    </x:row>
    <x:row r="57" ht="30" customHeight="1">
      <x:c r="A57" s="64" t="str">
        <x:v>МАСТЕР МЕТАЛЛ</x:v>
      </x:c>
      <x:c r="B57" s="64" t="str">
        <x:v>ВР-логистик</x:v>
      </x:c>
      <x:c r="C57" s="64" t="str">
        <x:v>МАСТЕР МЕТАЛЛ АО</x:v>
      </x:c>
      <x:c r="D57" s="64" t="str">
        <x:v>ВР-ЛОГИСТИК</x:v>
      </x:c>
      <x:c r="E57" s="65" t="n">
        <x:v>102776.5</x:v>
      </x:c>
      <x:c r="F57" s="63" t="str">
        <x:v>Сопоставлено</x:v>
      </x:c>
      <x:c r="G57" s="64" t="str">
        <x:v>Высокая</x:v>
      </x:c>
      <x:c r="H57" s="64" t="n">
        <x:v>28</x:v>
      </x:c>
      <x:c r="I57" s="64" t="str">
        <x:v>Точное нормализованное совпадение пары.</x:v>
      </x:c>
    </x:row>
    <x:row r="58" ht="30" customHeight="1">
      <x:c r="A58" s="55" t="str">
        <x:v>ЭКОВЕРМ</x:v>
      </x:c>
      <x:c r="B58" s="55" t="str">
        <x:v>ГЛАВПРОЕКТ</x:v>
      </x:c>
      <x:c r="C58" s="55" t="str">
        <x:v>ЭКОВЕРМ ООО</x:v>
      </x:c>
      <x:c r="D58" s="55" t="str">
        <x:v>ГЛАВПРОЕКТ ООО</x:v>
      </x:c>
      <x:c r="E58" s="58"/>
      <x:c r="F58" s="63" t="str">
        <x:v>Сопоставлено; повтор</x:v>
      </x:c>
      <x:c r="G58" s="55" t="str">
        <x:v>Высокая</x:v>
      </x:c>
      <x:c r="H58" s="55" t="n">
        <x:v>159</x:v>
      </x:c>
      <x:c r="I58" s="55" t="str">
        <x:v>Сальдо уже указано в первой строке этой пары.</x:v>
      </x:c>
    </x:row>
    <x:row r="59" ht="30" customHeight="1">
      <x:c r="A59" s="64" t="str">
        <x:v>ЦЕНТАВР</x:v>
      </x:c>
      <x:c r="B59" s="64" t="str">
        <x:v>ТОКОПРОВОД</x:v>
      </x:c>
      <x:c r="C59" s="64"/>
      <x:c r="D59" s="64"/>
      <x:c r="E59" s="65"/>
      <x:c r="F59" s="63" t="str">
        <x:v>Сопоставлено; повтор</x:v>
      </x:c>
      <x:c r="G59" s="64" t="str">
        <x:v>Высокая</x:v>
      </x:c>
      <x:c r="H59" s="64"/>
      <x:c r="I59" s="64" t="str">
        <x:v>Сальдо уже указано в первой строке этой пары.</x:v>
      </x:c>
    </x:row>
    <x:row r="60" ht="30" customHeight="1">
      <x:c r="A60" s="55" t="str">
        <x:v>Русский Свет</x:v>
      </x:c>
      <x:c r="B60" s="55" t="str">
        <x:v>ГЛАВПРОЕКТ</x:v>
      </x:c>
      <x:c r="C60" s="55"/>
      <x:c r="D60" s="55"/>
      <x:c r="E60" s="58"/>
      <x:c r="F60" s="66" t="str">
        <x:v>Пара не найдена</x:v>
      </x:c>
      <x:c r="G60" s="55" t="str">
        <x:v>Низкая</x:v>
      </x:c>
      <x:c r="H60" s="55"/>
      <x:c r="I60" s="55" t="str">
        <x:v>Сальдо оставлено пустым: точное совпадение не найдено, догадки не применялись.</x:v>
      </x:c>
    </x:row>
    <x:row r="61" ht="30" customHeight="1">
      <x:c r="A61" s="64" t="str">
        <x:v>ЦЕНТАВР</x:v>
      </x:c>
      <x:c r="B61" s="64" t="str">
        <x:v>ТОКОПРОВОД</x:v>
      </x:c>
      <x:c r="C61" s="64"/>
      <x:c r="D61" s="64"/>
      <x:c r="E61" s="65"/>
      <x:c r="F61" s="63" t="str">
        <x:v>Сопоставлено; повтор</x:v>
      </x:c>
      <x:c r="G61" s="64" t="str">
        <x:v>Высокая</x:v>
      </x:c>
      <x:c r="H61" s="64"/>
      <x:c r="I61" s="64" t="str">
        <x:v>Сальдо уже указано в первой строке этой пары.</x:v>
      </x:c>
    </x:row>
    <x:row r="62" ht="30" customHeight="1">
      <x:c r="A62" s="55" t="str">
        <x:v>АЛЬФА-МЕТАЛЛ</x:v>
      </x:c>
      <x:c r="B62" s="55" t="str">
        <x:v>ТОКОПРОВОД</x:v>
      </x:c>
      <x:c r="C62" s="55"/>
      <x:c r="D62" s="55"/>
      <x:c r="E62" s="58"/>
      <x:c r="F62" s="66" t="str">
        <x:v>Пара не найдена</x:v>
      </x:c>
      <x:c r="G62" s="55" t="str">
        <x:v>Низкая</x:v>
      </x:c>
      <x:c r="H62" s="55"/>
      <x:c r="I62" s="55" t="str">
        <x:v>Сальдо оставлено пустым: точное совпадение не найдено, догадки не применялись.</x:v>
      </x:c>
    </x:row>
    <x:row r="63" ht="30" customHeight="1">
      <x:c r="A63" s="64" t="str">
        <x:v>Группа МЕТТАТРОН</x:v>
      </x:c>
      <x:c r="B63" s="64" t="str">
        <x:v>ГЛАВПРОЕКТ</x:v>
      </x:c>
      <x:c r="C63" s="64" t="str">
        <x:v>Группа МЕТТАТРОН</x:v>
      </x:c>
      <x:c r="D63" s="64" t="str">
        <x:v>ГЛАВПРОЕКТ ООО</x:v>
      </x:c>
      <x:c r="E63" s="65"/>
      <x:c r="F63" s="66" t="str">
        <x:v>Пара не найдена</x:v>
      </x:c>
      <x:c r="G63" s="64" t="str">
        <x:v>Низкая</x:v>
      </x:c>
      <x:c r="H63" s="64" t="n">
        <x:v>70</x:v>
      </x:c>
      <x:c r="I63" s="64" t="str">
        <x:v>Сальдо оставлено пустым: точное совпадение не найдено, догадки не применялись.</x:v>
      </x:c>
    </x:row>
    <x:row r="64" ht="30" customHeight="1">
      <x:c r="A64" s="55" t="str">
        <x:v>МИРОТЭК</x:v>
      </x:c>
      <x:c r="B64" s="55" t="str">
        <x:v>ГЛАВПРОЕКТ</x:v>
      </x:c>
      <x:c r="C64" s="55"/>
      <x:c r="D64" s="55"/>
      <x:c r="E64" s="58"/>
      <x:c r="F64" s="66" t="str">
        <x:v>Пара не найдена</x:v>
      </x:c>
      <x:c r="G64" s="55" t="str">
        <x:v>Низкая</x:v>
      </x:c>
      <x:c r="H64" s="55"/>
      <x:c r="I64" s="55" t="str">
        <x:v>Сальдо оставлено пустым: точное совпадение не найдено, догадки не применялись.</x:v>
      </x:c>
    </x:row>
    <x:row r="65" ht="30" customHeight="1">
      <x:c r="A65" s="64" t="str">
        <x:v>МИРОТЭК</x:v>
      </x:c>
      <x:c r="B65" s="64" t="str">
        <x:v>ТОКОПРОВОД</x:v>
      </x:c>
      <x:c r="C65" s="64"/>
      <x:c r="D65" s="64"/>
      <x:c r="E65" s="65"/>
      <x:c r="F65" s="66" t="str">
        <x:v>Пара не найдена</x:v>
      </x:c>
      <x:c r="G65" s="64" t="str">
        <x:v>Низкая</x:v>
      </x:c>
      <x:c r="H65" s="64"/>
      <x:c r="I65" s="64" t="str">
        <x:v>Сальдо оставлено пустым: точное совпадение не найдено, догадки не применялись.</x:v>
      </x:c>
    </x:row>
    <x:row r="66" ht="30" customHeight="1">
      <x:c r="A66" s="55" t="str">
        <x:v>МИРОТЭК</x:v>
      </x:c>
      <x:c r="B66" s="55" t="str">
        <x:v>ТОКОПРОВОД</x:v>
      </x:c>
      <x:c r="C66" s="55"/>
      <x:c r="D66" s="55"/>
      <x:c r="E66" s="58"/>
      <x:c r="F66" s="66" t="str">
        <x:v>Пара не найдена</x:v>
      </x:c>
      <x:c r="G66" s="55" t="str">
        <x:v>Низкая</x:v>
      </x:c>
      <x:c r="H66" s="55"/>
      <x:c r="I66" s="55" t="str">
        <x:v>Сальдо оставлено пустым: точное совпадение не найдено, догадки не применялись.</x:v>
      </x:c>
    </x:row>
    <x:row r="67" ht="30" customHeight="1">
      <x:c r="A67" s="64" t="str">
        <x:v>НИЖЕГОРОДЭЛЕКТРОЗАЩИТА</x:v>
      </x:c>
      <x:c r="B67" s="64" t="str">
        <x:v>ТОКОПРОВОД</x:v>
      </x:c>
      <x:c r="C67" s="64"/>
      <x:c r="D67" s="64"/>
      <x:c r="E67" s="65" t="n">
        <x:v>1493.04</x:v>
      </x:c>
      <x:c r="F67" s="63" t="str">
        <x:v>Сопоставлено</x:v>
      </x:c>
      <x:c r="G67" s="64" t="str">
        <x:v>Высокая</x:v>
      </x:c>
      <x:c r="H67" s="64"/>
      <x:c r="I67" s="64" t="str">
        <x:v>Точное нормализованное совпадение пары.</x:v>
      </x:c>
    </x:row>
    <x:row r="68" ht="30" customHeight="1">
      <x:c r="A68" s="55" t="str">
        <x:v>Элевел Инженер 5001112612</x:v>
      </x:c>
      <x:c r="B68" s="55" t="str">
        <x:v>ГЛАВПРОЕКТ</x:v>
      </x:c>
      <x:c r="C68" s="55"/>
      <x:c r="D68" s="55"/>
      <x:c r="E68" s="58"/>
      <x:c r="F68" s="66" t="str">
        <x:v>Пара не найдена</x:v>
      </x:c>
      <x:c r="G68" s="55" t="str">
        <x:v>Низкая</x:v>
      </x:c>
      <x:c r="H68" s="55"/>
      <x:c r="I68" s="55" t="str">
        <x:v>Сальдо оставлено пустым: точное совпадение не найдено, догадки не применялись.</x:v>
      </x:c>
    </x:row>
    <x:row r="69" ht="30" customHeight="1">
      <x:c r="A69" s="64" t="str">
        <x:v>Элевел Инженер 5001112612</x:v>
      </x:c>
      <x:c r="B69" s="64" t="str">
        <x:v>ГЛАВПРОЕКТ</x:v>
      </x:c>
      <x:c r="C69" s="64"/>
      <x:c r="D69" s="64"/>
      <x:c r="E69" s="65"/>
      <x:c r="F69" s="66" t="str">
        <x:v>Пара не найдена</x:v>
      </x:c>
      <x:c r="G69" s="64" t="str">
        <x:v>Низкая</x:v>
      </x:c>
      <x:c r="H69" s="64"/>
      <x:c r="I69" s="64" t="str">
        <x:v>Сальдо оставлено пустым: точное совпадение не найдено, догадки не применялись.</x:v>
      </x:c>
    </x:row>
    <x:row r="70" ht="30" customHeight="1">
      <x:c r="A70" s="55" t="str">
        <x:v>Элевел Инженер 5001112612</x:v>
      </x:c>
      <x:c r="B70" s="55" t="str">
        <x:v>ГЛАВПРОЕКТ</x:v>
      </x:c>
      <x:c r="C70" s="55"/>
      <x:c r="D70" s="55"/>
      <x:c r="E70" s="58"/>
      <x:c r="F70" s="66" t="str">
        <x:v>Пара не найдена</x:v>
      </x:c>
      <x:c r="G70" s="55" t="str">
        <x:v>Низкая</x:v>
      </x:c>
      <x:c r="H70" s="55"/>
      <x:c r="I70" s="55" t="str">
        <x:v>Сальдо оставлено пустым: точное совпадение не найдено, догадки не применялись.</x:v>
      </x:c>
    </x:row>
    <x:row r="71" ht="30" customHeight="1">
      <x:c r="A71" s="64" t="str">
        <x:v>Элевел Инженер 5001112612</x:v>
      </x:c>
      <x:c r="B71" s="64" t="str">
        <x:v>ГЛАВПРОЕКТ</x:v>
      </x:c>
      <x:c r="C71" s="64"/>
      <x:c r="D71" s="64"/>
      <x:c r="E71" s="65"/>
      <x:c r="F71" s="66" t="str">
        <x:v>Пара не найдена</x:v>
      </x:c>
      <x:c r="G71" s="64" t="str">
        <x:v>Низкая</x:v>
      </x:c>
      <x:c r="H71" s="64"/>
      <x:c r="I71" s="64" t="str">
        <x:v>Сальдо оставлено пустым: точное совпадение не найдено, догадки не применялись.</x:v>
      </x:c>
    </x:row>
    <x:row r="72" ht="30" customHeight="1">
      <x:c r="A72" s="55" t="str">
        <x:v>Элевел Инженер 5001112612</x:v>
      </x:c>
      <x:c r="B72" s="55" t="str">
        <x:v>ГЛАВПРОЕКТ</x:v>
      </x:c>
      <x:c r="C72" s="55"/>
      <x:c r="D72" s="55"/>
      <x:c r="E72" s="58"/>
      <x:c r="F72" s="66" t="str">
        <x:v>Пара не найдена</x:v>
      </x:c>
      <x:c r="G72" s="55" t="str">
        <x:v>Низкая</x:v>
      </x:c>
      <x:c r="H72" s="55"/>
      <x:c r="I72" s="55" t="str">
        <x:v>Сальдо оставлено пустым: точное совпадение не найдено, догадки не применялись.</x:v>
      </x:c>
    </x:row>
    <x:row r="73" ht="30" customHeight="1">
      <x:c r="A73" s="64" t="str">
        <x:v>Элевел Инженер 5001112612</x:v>
      </x:c>
      <x:c r="B73" s="64" t="str">
        <x:v>ГЛАВПРОЕКТ</x:v>
      </x:c>
      <x:c r="C73" s="64"/>
      <x:c r="D73" s="64"/>
      <x:c r="E73" s="65"/>
      <x:c r="F73" s="66" t="str">
        <x:v>Пара не найдена</x:v>
      </x:c>
      <x:c r="G73" s="64" t="str">
        <x:v>Низкая</x:v>
      </x:c>
      <x:c r="H73" s="64"/>
      <x:c r="I73" s="64" t="str">
        <x:v>Сальдо оставлено пустым: точное совпадение не найдено, догадки не применялись.</x:v>
      </x:c>
    </x:row>
    <x:row r="74" ht="30" customHeight="1">
      <x:c r="A74" s="55" t="str">
        <x:v>ЭКОВЕРМ</x:v>
      </x:c>
      <x:c r="B74" s="55" t="str">
        <x:v>ГЛАВПРОЕКТ</x:v>
      </x:c>
      <x:c r="C74" s="55" t="str">
        <x:v>ЭКОВЕРМ ООО</x:v>
      </x:c>
      <x:c r="D74" s="55" t="str">
        <x:v>ГЛАВПРОЕКТ ООО</x:v>
      </x:c>
      <x:c r="E74" s="58"/>
      <x:c r="F74" s="63" t="str">
        <x:v>Сопоставлено; повтор</x:v>
      </x:c>
      <x:c r="G74" s="55" t="str">
        <x:v>Высокая</x:v>
      </x:c>
      <x:c r="H74" s="55" t="n">
        <x:v>159</x:v>
      </x:c>
      <x:c r="I74" s="55" t="str">
        <x:v>Сальдо уже указано в первой строке этой пары.</x:v>
      </x:c>
    </x:row>
    <x:row r="75" ht="30" customHeight="1">
      <x:c r="A75" s="64" t="str">
        <x:v>ЭКОВЕРМ</x:v>
      </x:c>
      <x:c r="B75" s="64" t="str">
        <x:v>ГЛАВПРОЕКТ</x:v>
      </x:c>
      <x:c r="C75" s="64" t="str">
        <x:v>ЭКОВЕРМ ООО</x:v>
      </x:c>
      <x:c r="D75" s="64" t="str">
        <x:v>ГЛАВПРОЕКТ ООО</x:v>
      </x:c>
      <x:c r="E75" s="65"/>
      <x:c r="F75" s="63" t="str">
        <x:v>Сопоставлено; повтор</x:v>
      </x:c>
      <x:c r="G75" s="64" t="str">
        <x:v>Высокая</x:v>
      </x:c>
      <x:c r="H75" s="64" t="n">
        <x:v>159</x:v>
      </x:c>
      <x:c r="I75" s="64" t="str">
        <x:v>Сальдо уже указано в первой строке этой пары.</x:v>
      </x:c>
    </x:row>
    <x:row r="76" ht="30" customHeight="1">
      <x:c r="A76" s="55" t="str">
        <x:v>ЭКОВЕРМ</x:v>
      </x:c>
      <x:c r="B76" s="55" t="str">
        <x:v>ГЛАВПРОЕКТ</x:v>
      </x:c>
      <x:c r="C76" s="55" t="str">
        <x:v>ЭКОВЕРМ ООО</x:v>
      </x:c>
      <x:c r="D76" s="55" t="str">
        <x:v>ГЛАВПРОЕКТ ООО</x:v>
      </x:c>
      <x:c r="E76" s="58"/>
      <x:c r="F76" s="63" t="str">
        <x:v>Сопоставлено; повтор</x:v>
      </x:c>
      <x:c r="G76" s="55" t="str">
        <x:v>Высокая</x:v>
      </x:c>
      <x:c r="H76" s="55" t="n">
        <x:v>159</x:v>
      </x:c>
      <x:c r="I76" s="55" t="str">
        <x:v>Сальдо уже указано в первой строке этой пары.</x:v>
      </x:c>
    </x:row>
    <x:row r="77" ht="30" customHeight="1">
      <x:c r="A77" s="64" t="str">
        <x:v>ЭКОВЕРМ</x:v>
      </x:c>
      <x:c r="B77" s="64" t="str">
        <x:v>ГЛАВПРОЕКТ</x:v>
      </x:c>
      <x:c r="C77" s="64" t="str">
        <x:v>ЭКОВЕРМ ООО</x:v>
      </x:c>
      <x:c r="D77" s="64" t="str">
        <x:v>ГЛАВПРОЕКТ ООО</x:v>
      </x:c>
      <x:c r="E77" s="65"/>
      <x:c r="F77" s="63" t="str">
        <x:v>Сопоставлено; повтор</x:v>
      </x:c>
      <x:c r="G77" s="64" t="str">
        <x:v>Высокая</x:v>
      </x:c>
      <x:c r="H77" s="64" t="n">
        <x:v>159</x:v>
      </x:c>
      <x:c r="I77" s="64" t="str">
        <x:v>Сальдо уже указано в первой строке этой пары.</x:v>
      </x:c>
    </x:row>
    <x:row r="78" ht="30" customHeight="1">
      <x:c r="A78" s="55" t="str">
        <x:v>ЭКОВЕРМ</x:v>
      </x:c>
      <x:c r="B78" s="55" t="str">
        <x:v>ГЛАВПРОЕКТ</x:v>
      </x:c>
      <x:c r="C78" s="55" t="str">
        <x:v>ЭКОВЕРМ ООО</x:v>
      </x:c>
      <x:c r="D78" s="55" t="str">
        <x:v>ГЛАВПРОЕКТ ООО</x:v>
      </x:c>
      <x:c r="E78" s="58"/>
      <x:c r="F78" s="63" t="str">
        <x:v>Сопоставлено; повтор</x:v>
      </x:c>
      <x:c r="G78" s="55" t="str">
        <x:v>Высокая</x:v>
      </x:c>
      <x:c r="H78" s="55" t="n">
        <x:v>159</x:v>
      </x:c>
      <x:c r="I78" s="55" t="str">
        <x:v>Сальдо уже указано в первой строке этой пары.</x:v>
      </x:c>
    </x:row>
    <x:row r="79" ht="30" customHeight="1">
      <x:c r="A79" s="64" t="str">
        <x:v>ЭКОВЕРМ</x:v>
      </x:c>
      <x:c r="B79" s="64" t="str">
        <x:v>ГЛАВПРОЕКТ</x:v>
      </x:c>
      <x:c r="C79" s="64" t="str">
        <x:v>ЭКОВЕРМ ООО</x:v>
      </x:c>
      <x:c r="D79" s="64" t="str">
        <x:v>ГЛАВПРОЕКТ ООО</x:v>
      </x:c>
      <x:c r="E79" s="65"/>
      <x:c r="F79" s="63" t="str">
        <x:v>Сопоставлено; повтор</x:v>
      </x:c>
      <x:c r="G79" s="64" t="str">
        <x:v>Высокая</x:v>
      </x:c>
      <x:c r="H79" s="64" t="n">
        <x:v>159</x:v>
      </x:c>
      <x:c r="I79" s="64" t="str">
        <x:v>Сальдо уже указано в первой строке этой пары.</x:v>
      </x:c>
    </x:row>
    <x:row r="80" ht="30" customHeight="1">
      <x:c r="A80" s="55" t="str">
        <x:v>ЭКОВЕРМ</x:v>
      </x:c>
      <x:c r="B80" s="55" t="str">
        <x:v>ГЛАВПРОЕКТ</x:v>
      </x:c>
      <x:c r="C80" s="55" t="str">
        <x:v>ЭКОВЕРМ ООО</x:v>
      </x:c>
      <x:c r="D80" s="55" t="str">
        <x:v>ГЛАВПРОЕКТ ООО</x:v>
      </x:c>
      <x:c r="E80" s="58"/>
      <x:c r="F80" s="63" t="str">
        <x:v>Сопоставлено; повтор</x:v>
      </x:c>
      <x:c r="G80" s="55" t="str">
        <x:v>Высокая</x:v>
      </x:c>
      <x:c r="H80" s="55" t="n">
        <x:v>159</x:v>
      </x:c>
      <x:c r="I80" s="55" t="str">
        <x:v>Сальдо уже указано в первой строке этой пары.</x:v>
      </x:c>
    </x:row>
    <x:row r="81" ht="30" customHeight="1">
      <x:c r="A81" s="64" t="str">
        <x:v>ЭКОВЕРМ</x:v>
      </x:c>
      <x:c r="B81" s="64" t="str">
        <x:v>ГЛАВПРОЕКТ</x:v>
      </x:c>
      <x:c r="C81" s="64" t="str">
        <x:v>ЭКОВЕРМ ООО</x:v>
      </x:c>
      <x:c r="D81" s="64" t="str">
        <x:v>ГЛАВПРОЕКТ ООО</x:v>
      </x:c>
      <x:c r="E81" s="65"/>
      <x:c r="F81" s="63" t="str">
        <x:v>Сопоставлено; повтор</x:v>
      </x:c>
      <x:c r="G81" s="64" t="str">
        <x:v>Высокая</x:v>
      </x:c>
      <x:c r="H81" s="64" t="n">
        <x:v>159</x:v>
      </x:c>
      <x:c r="I81" s="64" t="str">
        <x:v>Сальдо уже указано в первой строке этой пары.</x:v>
      </x:c>
    </x:row>
    <x:row r="82" ht="30" customHeight="1">
      <x:c r="A82" s="55" t="str">
        <x:v>ЭКОВЕРМ</x:v>
      </x:c>
      <x:c r="B82" s="55" t="str">
        <x:v>ГЛАВПРОЕКТ</x:v>
      </x:c>
      <x:c r="C82" s="55" t="str">
        <x:v>ЭКОВЕРМ ООО</x:v>
      </x:c>
      <x:c r="D82" s="55" t="str">
        <x:v>ГЛАВПРОЕКТ ООО</x:v>
      </x:c>
      <x:c r="E82" s="58"/>
      <x:c r="F82" s="63" t="str">
        <x:v>Сопоставлено; повтор</x:v>
      </x:c>
      <x:c r="G82" s="55" t="str">
        <x:v>Высокая</x:v>
      </x:c>
      <x:c r="H82" s="55" t="n">
        <x:v>159</x:v>
      </x:c>
      <x:c r="I82" s="55" t="str">
        <x:v>Сальдо уже указано в первой строке этой пары.</x:v>
      </x:c>
    </x:row>
    <x:row r="83" ht="30" customHeight="1">
      <x:c r="A83" s="64" t="str">
        <x:v>ЭКОВЕРМ</x:v>
      </x:c>
      <x:c r="B83" s="64" t="str">
        <x:v>ГЛАВПРОЕКТ</x:v>
      </x:c>
      <x:c r="C83" s="64" t="str">
        <x:v>ЭКОВЕРМ ООО</x:v>
      </x:c>
      <x:c r="D83" s="64" t="str">
        <x:v>ГЛАВПРОЕКТ ООО</x:v>
      </x:c>
      <x:c r="E83" s="65"/>
      <x:c r="F83" s="63" t="str">
        <x:v>Сопоставлено; повтор</x:v>
      </x:c>
      <x:c r="G83" s="64" t="str">
        <x:v>Высокая</x:v>
      </x:c>
      <x:c r="H83" s="64" t="n">
        <x:v>159</x:v>
      </x:c>
      <x:c r="I83" s="64" t="str">
        <x:v>Сальдо уже указано в первой строке этой пары.</x:v>
      </x:c>
    </x:row>
    <x:row r="84" ht="30" customHeight="1">
      <x:c r="A84" s="55" t="str">
        <x:v>ЭКОВЕРМ</x:v>
      </x:c>
      <x:c r="B84" s="55" t="str">
        <x:v>ГЛАВПРОЕКТ</x:v>
      </x:c>
      <x:c r="C84" s="55" t="str">
        <x:v>ЭКОВЕРМ ООО</x:v>
      </x:c>
      <x:c r="D84" s="55" t="str">
        <x:v>ГЛАВПРОЕКТ ООО</x:v>
      </x:c>
      <x:c r="E84" s="58"/>
      <x:c r="F84" s="63" t="str">
        <x:v>Сопоставлено; повтор</x:v>
      </x:c>
      <x:c r="G84" s="55" t="str">
        <x:v>Высокая</x:v>
      </x:c>
      <x:c r="H84" s="55" t="n">
        <x:v>159</x:v>
      </x:c>
      <x:c r="I84" s="55" t="str">
        <x:v>Сальдо уже указано в первой строке этой пары.</x:v>
      </x:c>
    </x:row>
    <x:row r="85" ht="30" customHeight="1">
      <x:c r="A85" s="64" t="str">
        <x:v>ЭКОВЕРМ</x:v>
      </x:c>
      <x:c r="B85" s="64" t="str">
        <x:v>ГЛАВПРОЕКТ</x:v>
      </x:c>
      <x:c r="C85" s="64" t="str">
        <x:v>ЭКОВЕРМ ООО</x:v>
      </x:c>
      <x:c r="D85" s="64" t="str">
        <x:v>ГЛАВПРОЕКТ ООО</x:v>
      </x:c>
      <x:c r="E85" s="65"/>
      <x:c r="F85" s="63" t="str">
        <x:v>Сопоставлено; повтор</x:v>
      </x:c>
      <x:c r="G85" s="64" t="str">
        <x:v>Высокая</x:v>
      </x:c>
      <x:c r="H85" s="64" t="n">
        <x:v>159</x:v>
      </x:c>
      <x:c r="I85" s="64" t="str">
        <x:v>Сальдо уже указано в первой строке этой пары.</x:v>
      </x:c>
    </x:row>
    <x:row r="86" ht="30" customHeight="1">
      <x:c r="A86" s="55" t="str">
        <x:v>ЭКОВЕРМ</x:v>
      </x:c>
      <x:c r="B86" s="55" t="str">
        <x:v>ГЛАВПРОЕКТ</x:v>
      </x:c>
      <x:c r="C86" s="55" t="str">
        <x:v>ЭКОВЕРМ ООО</x:v>
      </x:c>
      <x:c r="D86" s="55" t="str">
        <x:v>ГЛАВПРОЕКТ ООО</x:v>
      </x:c>
      <x:c r="E86" s="58"/>
      <x:c r="F86" s="63" t="str">
        <x:v>Сопоставлено; повтор</x:v>
      </x:c>
      <x:c r="G86" s="55" t="str">
        <x:v>Высокая</x:v>
      </x:c>
      <x:c r="H86" s="55" t="n">
        <x:v>159</x:v>
      </x:c>
      <x:c r="I86" s="55" t="str">
        <x:v>Сальдо уже указано в первой строке этой пары.</x:v>
      </x:c>
    </x:row>
    <x:row r="87" ht="30" customHeight="1">
      <x:c r="A87" s="64" t="str">
        <x:v>ЭКОВЕРМ</x:v>
      </x:c>
      <x:c r="B87" s="64" t="str">
        <x:v>ГЛАВПРОЕКТ</x:v>
      </x:c>
      <x:c r="C87" s="64" t="str">
        <x:v>ЭКОВЕРМ ООО</x:v>
      </x:c>
      <x:c r="D87" s="64" t="str">
        <x:v>ГЛАВПРОЕКТ ООО</x:v>
      </x:c>
      <x:c r="E87" s="65"/>
      <x:c r="F87" s="63" t="str">
        <x:v>Сопоставлено; повтор</x:v>
      </x:c>
      <x:c r="G87" s="64" t="str">
        <x:v>Высокая</x:v>
      </x:c>
      <x:c r="H87" s="64" t="n">
        <x:v>159</x:v>
      </x:c>
      <x:c r="I87" s="64" t="str">
        <x:v>Сальдо уже указано в первой строке этой пары.</x:v>
      </x:c>
    </x:row>
    <x:row r="88" ht="30" customHeight="1">
      <x:c r="A88" s="55" t="str">
        <x:v>ЭКОВЕРМ</x:v>
      </x:c>
      <x:c r="B88" s="55" t="str">
        <x:v>ГЛАВПРОЕКТ</x:v>
      </x:c>
      <x:c r="C88" s="55" t="str">
        <x:v>ЭКОВЕРМ ООО</x:v>
      </x:c>
      <x:c r="D88" s="55" t="str">
        <x:v>ГЛАВПРОЕКТ ООО</x:v>
      </x:c>
      <x:c r="E88" s="58"/>
      <x:c r="F88" s="63" t="str">
        <x:v>Сопоставлено; повтор</x:v>
      </x:c>
      <x:c r="G88" s="55" t="str">
        <x:v>Высокая</x:v>
      </x:c>
      <x:c r="H88" s="55" t="n">
        <x:v>159</x:v>
      </x:c>
      <x:c r="I88" s="55" t="str">
        <x:v>Сальдо уже указано в первой строке этой пары.</x:v>
      </x:c>
    </x:row>
    <x:row r="89" ht="30" customHeight="1">
      <x:c r="A89" s="64" t="str">
        <x:v>ЭКОВЕРМ</x:v>
      </x:c>
      <x:c r="B89" s="64" t="str">
        <x:v>ГЛАВПРОЕКТ</x:v>
      </x:c>
      <x:c r="C89" s="64" t="str">
        <x:v>ЭКОВЕРМ ООО</x:v>
      </x:c>
      <x:c r="D89" s="64" t="str">
        <x:v>ГЛАВПРОЕКТ ООО</x:v>
      </x:c>
      <x:c r="E89" s="65"/>
      <x:c r="F89" s="63" t="str">
        <x:v>Сопоставлено; повтор</x:v>
      </x:c>
      <x:c r="G89" s="64" t="str">
        <x:v>Высокая</x:v>
      </x:c>
      <x:c r="H89" s="64" t="n">
        <x:v>159</x:v>
      </x:c>
      <x:c r="I89" s="64" t="str">
        <x:v>Сальдо уже указано в первой строке этой пары.</x:v>
      </x:c>
    </x:row>
    <x:row r="90" ht="30" customHeight="1">
      <x:c r="A90" s="55" t="str">
        <x:v>БК-АЛПРОФ</x:v>
      </x:c>
      <x:c r="B90" s="55" t="str">
        <x:v>ГЛАВПРОЕКТ</x:v>
      </x:c>
      <x:c r="C90" s="55" t="str">
        <x:v>БК Алпроф</x:v>
      </x:c>
      <x:c r="D90" s="55" t="str">
        <x:v>ГЛАВПРОЕКТ ООО</x:v>
      </x:c>
      <x:c r="E90" s="58" t="n">
        <x:v>-0.02</x:v>
      </x:c>
      <x:c r="F90" s="63" t="str">
        <x:v>Добавлено пользователем</x:v>
      </x:c>
      <x:c r="G90" s="55" t="str">
        <x:v>Высокая</x:v>
      </x:c>
      <x:c r="H90" s="55"/>
      <x:c r="I90" s="55" t="str">
        <x:v>Данные пользователя от 13.08.2026; долг плательщика поставщику отражён отрицательным числом, красным цветом в скобках.</x:v>
      </x:c>
    </x:row>
    <x:row r="91" ht="30" customHeight="1">
      <x:c r="A91" s="64" t="str">
        <x:v>БК-АЛПРОФ</x:v>
      </x:c>
      <x:c r="B91" s="64" t="str">
        <x:v>ГЛАВПРОЕКТ</x:v>
      </x:c>
      <x:c r="C91" s="64" t="str">
        <x:v>БК Алпроф</x:v>
      </x:c>
      <x:c r="D91" s="64" t="str">
        <x:v>ГЛАВПРОЕКТ ООО</x:v>
      </x:c>
      <x:c r="E91" s="65"/>
      <x:c r="F91" s="63" t="str">
        <x:v>Сопоставлено; повтор</x:v>
      </x:c>
      <x:c r="G91" s="64" t="str">
        <x:v>Высокая</x:v>
      </x:c>
      <x:c r="H91" s="64"/>
      <x:c r="I91" s="64" t="str">
        <x:v>Сальдо уже указано в первой строке этой пары.</x:v>
      </x:c>
    </x:row>
    <x:row r="92" ht="30" customHeight="1">
      <x:c r="A92" s="55" t="str">
        <x:v>ЦОМ МОСТ-1 ООО</x:v>
      </x:c>
      <x:c r="B92" s="55" t="str">
        <x:v>ГЛАВПРОЕКТ спецсчет</x:v>
      </x:c>
      <x:c r="C92" s="55"/>
      <x:c r="D92" s="55"/>
      <x:c r="E92" s="58"/>
      <x:c r="F92" s="66" t="str">
        <x:v>Пара не найдена</x:v>
      </x:c>
      <x:c r="G92" s="55" t="str">
        <x:v>Низкая</x:v>
      </x:c>
      <x:c r="H92" s="55"/>
      <x:c r="I92" s="55" t="str">
        <x:v>Сальдо оставлено пустым: точное совпадение не найдено, догадки не применялись.</x:v>
      </x:c>
    </x:row>
    <x:row r="93" ht="30" customHeight="1">
      <x:c r="A93" s="64" t="str">
        <x:v>ЦЕНТАВР</x:v>
      </x:c>
      <x:c r="B93" s="64" t="str">
        <x:v>ГЛАВПРОЕКТ</x:v>
      </x:c>
      <x:c r="C93" s="64" t="str">
        <x:v>ЦЕНТАВР ООО</x:v>
      </x:c>
      <x:c r="D93" s="64" t="str">
        <x:v>ГЛАВПРОЕКТ ООО</x:v>
      </x:c>
      <x:c r="E93" s="65" t="n">
        <x:v>2023.2</x:v>
      </x:c>
      <x:c r="F93" s="63" t="str">
        <x:v>Сопоставлено</x:v>
      </x:c>
      <x:c r="G93" s="64" t="str">
        <x:v>Высокая</x:v>
      </x:c>
      <x:c r="H93" s="64" t="n">
        <x:v>155</x:v>
      </x:c>
      <x:c r="I93" s="64" t="str">
        <x:v>Точное нормализованное совпадение пары.</x:v>
      </x:c>
    </x:row>
    <x:row r="94" ht="30" customHeight="1">
      <x:c r="A94" s="55" t="str">
        <x:v>О Ц П Н</x:v>
      </x:c>
      <x:c r="B94" s="55" t="str">
        <x:v>ГЛАВПРОЕКТ</x:v>
      </x:c>
      <x:c r="C94" s="55"/>
      <x:c r="D94" s="55"/>
      <x:c r="E94" s="58"/>
      <x:c r="F94" s="66" t="str">
        <x:v>Пара не найдена</x:v>
      </x:c>
      <x:c r="G94" s="55" t="str">
        <x:v>Низкая</x:v>
      </x:c>
      <x:c r="H94" s="55"/>
      <x:c r="I94" s="55" t="str">
        <x:v>Сальдо оставлено пустым: точное совпадение не найдено, догадки не применялись.</x:v>
      </x:c>
    </x:row>
    <x:row r="95" ht="30" customHeight="1">
      <x:c r="A95" s="64" t="str">
        <x:v>МИРОТЭК</x:v>
      </x:c>
      <x:c r="B95" s="64" t="str">
        <x:v>ГЛАВПРОЕКТ</x:v>
      </x:c>
      <x:c r="C95" s="64"/>
      <x:c r="D95" s="64"/>
      <x:c r="E95" s="65"/>
      <x:c r="F95" s="66" t="str">
        <x:v>Пара не найдена</x:v>
      </x:c>
      <x:c r="G95" s="64" t="str">
        <x:v>Низкая</x:v>
      </x:c>
      <x:c r="H95" s="64"/>
      <x:c r="I95" s="64" t="str">
        <x:v>Сальдо оставлено пустым: точное совпадение не найдено, догадки не применялись.</x:v>
      </x:c>
    </x:row>
    <x:row r="96" ht="30" customHeight="1">
      <x:c r="A96" s="55" t="str">
        <x:v>ТЕХНОПЛАСТ33</x:v>
      </x:c>
      <x:c r="B96" s="55" t="str">
        <x:v>ГЛАВПРОЕКТ</x:v>
      </x:c>
      <x:c r="C96" s="55" t="str">
        <x:v>ТЕХНОПЛАСТ33 ООО</x:v>
      </x:c>
      <x:c r="D96" s="55" t="str">
        <x:v>ГЛАВПРОЕКТ ООО</x:v>
      </x:c>
      <x:c r="E96" s="58"/>
      <x:c r="F96" s="63" t="str">
        <x:v>Сопоставлено; повтор</x:v>
      </x:c>
      <x:c r="G96" s="55" t="str">
        <x:v>Высокая</x:v>
      </x:c>
      <x:c r="H96" s="55" t="n">
        <x:v>133</x:v>
      </x:c>
      <x:c r="I96" s="55" t="str">
        <x:v>Сальдо уже указано в первой строке этой пары.</x:v>
      </x:c>
    </x:row>
    <x:row r="97" ht="30" customHeight="1">
      <x:c r="A97" s="64" t="str">
        <x:v>Nanjing Quality</x:v>
      </x:c>
      <x:c r="B97" s="64" t="str">
        <x:v>ТОКОПРОВОД</x:v>
      </x:c>
      <x:c r="C97" s="64"/>
      <x:c r="D97" s="64"/>
      <x:c r="E97" s="65"/>
      <x:c r="F97" s="66" t="str">
        <x:v>Пара не найдена</x:v>
      </x:c>
      <x:c r="G97" s="64" t="str">
        <x:v>Низкая</x:v>
      </x:c>
      <x:c r="H97" s="64"/>
      <x:c r="I97" s="64" t="str">
        <x:v>Сальдо оставлено пустым: точное совпадение не найдено, догадки не применялись.</x:v>
      </x:c>
    </x:row>
    <x:row r="98" ht="30" customHeight="1">
      <x:c r="A98" s="55" t="str">
        <x:v>Suzhou Kiande Electric</x:v>
      </x:c>
      <x:c r="B98" s="55" t="str">
        <x:v>ТОКОПРОВОД</x:v>
      </x:c>
      <x:c r="C98" s="55"/>
      <x:c r="D98" s="55"/>
      <x:c r="E98" s="58"/>
      <x:c r="F98" s="66" t="str">
        <x:v>Пара не найдена</x:v>
      </x:c>
      <x:c r="G98" s="55" t="str">
        <x:v>Низкая</x:v>
      </x:c>
      <x:c r="H98" s="55"/>
      <x:c r="I98" s="55" t="str">
        <x:v>Сальдо оставлено пустым: точное совпадение не найдено, догадки не применялись.</x:v>
      </x:c>
    </x:row>
    <x:row r="99" ht="30" customHeight="1">
      <x:c r="A99" s="64" t="str">
        <x:v>Suzhou Kiande Electric</x:v>
      </x:c>
      <x:c r="B99" s="64" t="str">
        <x:v>ТОКОПРОВОД</x:v>
      </x:c>
      <x:c r="C99" s="64"/>
      <x:c r="D99" s="64"/>
      <x:c r="E99" s="65"/>
      <x:c r="F99" s="66" t="str">
        <x:v>Пара не найдена</x:v>
      </x:c>
      <x:c r="G99" s="64" t="str">
        <x:v>Низкая</x:v>
      </x:c>
      <x:c r="H99" s="64"/>
      <x:c r="I99" s="64" t="str">
        <x:v>Сальдо оставлено пустым: точное совпадение не найдено, догадки не применялись.</x:v>
      </x:c>
    </x:row>
    <x:row r="100" ht="30" customHeight="1">
      <x:c r="A100" s="55" t="str">
        <x:v>МЕТАЛЛПРОМСНАБ</x:v>
      </x:c>
      <x:c r="B100" s="55" t="str">
        <x:v>ТОКОПРОВОД</x:v>
      </x:c>
      <x:c r="C100" s="55"/>
      <x:c r="D100" s="55"/>
      <x:c r="E100" s="58"/>
      <x:c r="F100" s="66" t="str">
        <x:v>Пара не найдена</x:v>
      </x:c>
      <x:c r="G100" s="55" t="str">
        <x:v>Низкая</x:v>
      </x:c>
      <x:c r="H100" s="55"/>
      <x:c r="I100" s="55" t="str">
        <x:v>Сальдо оставлено пустым: точное совпадение не найдено, догадки не применялись.</x:v>
      </x:c>
    </x:row>
    <x:row r="101" ht="30" customHeight="1">
      <x:c r="A101" s="64" t="str">
        <x:v>ООО "Сапсет"</x:v>
      </x:c>
      <x:c r="B101" s="64" t="str">
        <x:v>МК ИНЖИНИРИНГ</x:v>
      </x:c>
      <x:c r="C101" s="64"/>
      <x:c r="D101" s="64"/>
      <x:c r="E101" s="65"/>
      <x:c r="F101" s="66" t="str">
        <x:v>Пара не найдена</x:v>
      </x:c>
      <x:c r="G101" s="64" t="str">
        <x:v>Низкая</x:v>
      </x:c>
      <x:c r="H101" s="64"/>
      <x:c r="I101" s="64" t="str">
        <x:v>Сальдо оставлено пустым: точное совпадение не найдено, догадки не применялись.</x:v>
      </x:c>
    </x:row>
    <x:row r="102" ht="30" customHeight="1">
      <x:c r="A102" s="55" t="str">
        <x:v>ИП Володина</x:v>
      </x:c>
      <x:c r="B102" s="55" t="str">
        <x:v>МК ИНЖИНИРИНГ</x:v>
      </x:c>
      <x:c r="C102" s="55"/>
      <x:c r="D102" s="55"/>
      <x:c r="E102" s="58"/>
      <x:c r="F102" s="66" t="str">
        <x:v>Пара не найдена</x:v>
      </x:c>
      <x:c r="G102" s="55" t="str">
        <x:v>Низкая</x:v>
      </x:c>
      <x:c r="H102" s="55"/>
      <x:c r="I102" s="55" t="str">
        <x:v>Сальдо оставлено пустым: точное совпадение не найдено, догадки не применялись.</x:v>
      </x:c>
    </x:row>
    <x:row r="103" ht="30" customHeight="1">
      <x:c r="A103" s="64" t="str">
        <x:v>ИП Володина</x:v>
      </x:c>
      <x:c r="B103" s="64" t="str">
        <x:v>АЛБИМАКСМЕТАЛЛ</x:v>
      </x:c>
      <x:c r="C103" s="64"/>
      <x:c r="D103" s="64"/>
      <x:c r="E103" s="65"/>
      <x:c r="F103" s="66" t="str">
        <x:v>Пара не найдена</x:v>
      </x:c>
      <x:c r="G103" s="64" t="str">
        <x:v>Низкая</x:v>
      </x:c>
      <x:c r="H103" s="64"/>
      <x:c r="I103" s="64" t="str">
        <x:v>Сальдо оставлено пустым: точное совпадение не найдено, догадки не применялись.</x:v>
      </x:c>
    </x:row>
    <x:row r="104" ht="30" customHeight="1">
      <x:c r="A104" s="55" t="str">
        <x:v>О Ц П Н</x:v>
      </x:c>
      <x:c r="B104" s="55" t="str">
        <x:v>ГЛАВПРОЕКТ</x:v>
      </x:c>
      <x:c r="C104" s="55"/>
      <x:c r="D104" s="55"/>
      <x:c r="E104" s="58"/>
      <x:c r="F104" s="66" t="str">
        <x:v>Пара не найдена</x:v>
      </x:c>
      <x:c r="G104" s="55" t="str">
        <x:v>Низкая</x:v>
      </x:c>
      <x:c r="H104" s="55"/>
      <x:c r="I104" s="55" t="str">
        <x:v>Сальдо оставлено пустым: точное совпадение не найдено, догадки не применялись.</x:v>
      </x:c>
    </x:row>
    <x:row r="105" ht="30" customHeight="1">
      <x:c r="A105" s="64" t="str">
        <x:v>АСД техник</x:v>
      </x:c>
      <x:c r="B105" s="64" t="str">
        <x:v>ГЛАВПРОЕКТ</x:v>
      </x:c>
      <x:c r="C105" s="64"/>
      <x:c r="D105" s="64"/>
      <x:c r="E105" s="65"/>
      <x:c r="F105" s="66" t="str">
        <x:v>Пара не найдена</x:v>
      </x:c>
      <x:c r="G105" s="64" t="str">
        <x:v>Низкая</x:v>
      </x:c>
      <x:c r="H105" s="64"/>
      <x:c r="I105" s="64" t="str">
        <x:v>Сальдо оставлено пустым: точное совпадение не найдено, догадки не применялись.</x:v>
      </x:c>
    </x:row>
    <x:row r="106" ht="30" customHeight="1">
      <x:c r="A106" s="55" t="str">
        <x:v>ООО «ГИГАМЕХ»</x:v>
      </x:c>
      <x:c r="B106" s="55" t="str">
        <x:v>ГЛАВПРОЕКТ</x:v>
      </x:c>
      <x:c r="C106" s="55"/>
      <x:c r="D106" s="55"/>
      <x:c r="E106" s="58"/>
      <x:c r="F106" s="66" t="str">
        <x:v>Пара не найдена</x:v>
      </x:c>
      <x:c r="G106" s="55" t="str">
        <x:v>Низкая</x:v>
      </x:c>
      <x:c r="H106" s="55"/>
      <x:c r="I106" s="55" t="str">
        <x:v>Сальдо оставлено пустым: точное совпадение не найдено, догадки не применялись.</x:v>
      </x:c>
    </x:row>
    <x:row r="107" ht="30" customHeight="1">
      <x:c r="A107" s="64" t="str">
        <x:v>РЕГАРД</x:v>
      </x:c>
      <x:c r="B107" s="64" t="str">
        <x:v>ГЛАВПРОЕКТ</x:v>
      </x:c>
      <x:c r="C107" s="64"/>
      <x:c r="D107" s="64"/>
      <x:c r="E107" s="65"/>
      <x:c r="F107" s="66" t="str">
        <x:v>Пара не найдена</x:v>
      </x:c>
      <x:c r="G107" s="64" t="str">
        <x:v>Низкая</x:v>
      </x:c>
      <x:c r="H107" s="64"/>
      <x:c r="I107" s="64" t="str">
        <x:v>Сальдо оставлено пустым: точное совпадение не найдено, догадки не применялись.</x:v>
      </x:c>
    </x:row>
    <x:row r="108" ht="30" customHeight="1">
      <x:c r="A108" s="55" t="str">
        <x:v>РУССКИЙ свет</x:v>
      </x:c>
      <x:c r="B108" s="55" t="str">
        <x:v>ГЛАВПРОЕКТ</x:v>
      </x:c>
      <x:c r="C108" s="55"/>
      <x:c r="D108" s="55"/>
      <x:c r="E108" s="58"/>
      <x:c r="F108" s="66" t="str">
        <x:v>Пара не найдена</x:v>
      </x:c>
      <x:c r="G108" s="55" t="str">
        <x:v>Низкая</x:v>
      </x:c>
      <x:c r="H108" s="55"/>
      <x:c r="I108" s="55" t="str">
        <x:v>Сальдо оставлено пустым: точное совпадение не найдено, догадки не применялись.</x:v>
      </x:c>
    </x:row>
    <x:row r="109" ht="30" customHeight="1">
      <x:c r="A109" s="64" t="str">
        <x:v>СПК</x:v>
      </x:c>
      <x:c r="B109" s="64" t="str">
        <x:v>ТОКОПРОВОД</x:v>
      </x:c>
      <x:c r="C109" s="64"/>
      <x:c r="D109" s="64"/>
      <x:c r="E109" s="65"/>
      <x:c r="F109" s="66" t="str">
        <x:v>Пара не найдена</x:v>
      </x:c>
      <x:c r="G109" s="64" t="str">
        <x:v>Низкая</x:v>
      </x:c>
      <x:c r="H109" s="64"/>
      <x:c r="I109" s="64" t="str">
        <x:v>Сальдо оставлено пустым: точное совпадение не найдено, догадки не применялись.</x:v>
      </x:c>
    </x:row>
    <x:row r="110" ht="30" customHeight="1">
      <x:c r="A110" s="55" t="str">
        <x:v>ИП Моисеев Александр Иванович</x:v>
      </x:c>
      <x:c r="B110" s="55" t="str">
        <x:v>ТОКОПРОВОД</x:v>
      </x:c>
      <x:c r="C110" s="55"/>
      <x:c r="D110" s="55"/>
      <x:c r="E110" s="58"/>
      <x:c r="F110" s="66" t="str">
        <x:v>Пара не найдена</x:v>
      </x:c>
      <x:c r="G110" s="55" t="str">
        <x:v>Низкая</x:v>
      </x:c>
      <x:c r="H110" s="55"/>
      <x:c r="I110" s="55" t="str">
        <x:v>Сальдо оставлено пустым: точное совпадение не найдено, догадки не применялись.</x:v>
      </x:c>
    </x:row>
    <x:row r="111" ht="30" customHeight="1">
      <x:c r="A111" s="64" t="str">
        <x:v>ИП Моисеев Александр Иванович</x:v>
      </x:c>
      <x:c r="B111" s="64" t="str">
        <x:v>ГЛАВПРОЕКТ</x:v>
      </x:c>
      <x:c r="C111" s="64"/>
      <x:c r="D111" s="64"/>
      <x:c r="E111" s="65"/>
      <x:c r="F111" s="66" t="str">
        <x:v>Пара не найдена</x:v>
      </x:c>
      <x:c r="G111" s="64" t="str">
        <x:v>Низкая</x:v>
      </x:c>
      <x:c r="H111" s="64"/>
      <x:c r="I111" s="64" t="str">
        <x:v>Сальдо оставлено пустым: точное совпадение не найдено, догадки не применялись.</x:v>
      </x:c>
    </x:row>
    <x:row r="112" ht="30" customHeight="1">
      <x:c r="A112" s="55" t="str">
        <x:v>ТЕХНОЛОГИИ БУДУЩЕГО</x:v>
      </x:c>
      <x:c r="B112" s="55" t="str">
        <x:v>МК-ИНЖИНИРИНГ</x:v>
      </x:c>
      <x:c r="C112" s="55"/>
      <x:c r="D112" s="55"/>
      <x:c r="E112" s="58"/>
      <x:c r="F112" s="66" t="str">
        <x:v>Пара не найдена</x:v>
      </x:c>
      <x:c r="G112" s="55" t="str">
        <x:v>Низкая</x:v>
      </x:c>
      <x:c r="H112" s="55"/>
      <x:c r="I112" s="55" t="str">
        <x:v>Сальдо оставлено пустым: точное совпадение не найдено, догадки не применялись.</x:v>
      </x:c>
    </x:row>
    <x:row r="113" ht="30" customHeight="1">
      <x:c r="A113" s="64" t="str">
        <x:v>ИП БЫЧЕНКОВ</x:v>
      </x:c>
      <x:c r="B113" s="64" t="str">
        <x:v>ГЛАВПРОЕКТ</x:v>
      </x:c>
      <x:c r="C113" s="64"/>
      <x:c r="D113" s="64"/>
      <x:c r="E113" s="65"/>
      <x:c r="F113" s="66" t="str">
        <x:v>Пара не найдена</x:v>
      </x:c>
      <x:c r="G113" s="64" t="str">
        <x:v>Низкая</x:v>
      </x:c>
      <x:c r="H113" s="64"/>
      <x:c r="I113" s="64" t="str">
        <x:v>Сальдо оставлено пустым: точное совпадение не найдено, догадки не применялись.</x:v>
      </x:c>
    </x:row>
    <x:row r="114" ht="30" customHeight="1">
      <x:c r="A114" s="55" t="str">
        <x:v>ТЛК групп</x:v>
      </x:c>
      <x:c r="B114" s="55" t="str">
        <x:v>ГЛАВПРОЕКТ</x:v>
      </x:c>
      <x:c r="C114" s="55" t="str">
        <x:v>ТЛК-ГРУПП ООО</x:v>
      </x:c>
      <x:c r="D114" s="55" t="str">
        <x:v>ГЛАВПРОЕКТ ООО</x:v>
      </x:c>
      <x:c r="E114" s="58" t="n">
        <x:v>-546500</x:v>
      </x:c>
      <x:c r="F114" s="63" t="str">
        <x:v>Сопоставлено</x:v>
      </x:c>
      <x:c r="G114" s="55" t="str">
        <x:v>Высокая</x:v>
      </x:c>
      <x:c r="H114" s="55" t="n">
        <x:v>137</x:v>
      </x:c>
      <x:c r="I114" s="55" t="str">
        <x:v>Точное нормализованное совпадение пары.</x:v>
      </x:c>
    </x:row>
    <x:row r="115" ht="30" customHeight="1">
      <x:c r="A115" s="64" t="str">
        <x:v>ТЛК групп</x:v>
      </x:c>
      <x:c r="B115" s="64" t="str">
        <x:v>ГЛАВПРОЕКТ</x:v>
      </x:c>
      <x:c r="C115" s="64" t="str">
        <x:v>ТЛК-ГРУПП ООО</x:v>
      </x:c>
      <x:c r="D115" s="64" t="str">
        <x:v>ГЛАВПРОЕКТ ООО</x:v>
      </x:c>
      <x:c r="E115" s="65"/>
      <x:c r="F115" s="63" t="str">
        <x:v>Сопоставлено; повтор</x:v>
      </x:c>
      <x:c r="G115" s="64" t="str">
        <x:v>Высокая</x:v>
      </x:c>
      <x:c r="H115" s="64" t="n">
        <x:v>137</x:v>
      </x:c>
      <x:c r="I115" s="64" t="str">
        <x:v>Сальдо уже указано в первой строке этой пары.</x:v>
      </x:c>
    </x:row>
    <x:row r="116" ht="30" customHeight="1">
      <x:c r="A116" s="55" t="str">
        <x:v>ТЛК групп</x:v>
      </x:c>
      <x:c r="B116" s="55" t="str">
        <x:v>ГЛАВПРОЕКТ</x:v>
      </x:c>
      <x:c r="C116" s="55" t="str">
        <x:v>ТЛК-ГРУПП ООО</x:v>
      </x:c>
      <x:c r="D116" s="55" t="str">
        <x:v>ГЛАВПРОЕКТ ООО</x:v>
      </x:c>
      <x:c r="E116" s="58"/>
      <x:c r="F116" s="63" t="str">
        <x:v>Сопоставлено; повтор</x:v>
      </x:c>
      <x:c r="G116" s="55" t="str">
        <x:v>Высокая</x:v>
      </x:c>
      <x:c r="H116" s="55" t="n">
        <x:v>137</x:v>
      </x:c>
      <x:c r="I116" s="55" t="str">
        <x:v>Сальдо уже указано в первой строке этой пары.</x:v>
      </x:c>
    </x:row>
    <x:row r="117" ht="30" customHeight="1">
      <x:c r="A117" s="64" t="str">
        <x:v>ТЛК групп</x:v>
      </x:c>
      <x:c r="B117" s="64" t="str">
        <x:v>ГЛАВПРОЕКТ</x:v>
      </x:c>
      <x:c r="C117" s="64" t="str">
        <x:v>ТЛК-ГРУПП ООО</x:v>
      </x:c>
      <x:c r="D117" s="64" t="str">
        <x:v>ГЛАВПРОЕКТ ООО</x:v>
      </x:c>
      <x:c r="E117" s="65"/>
      <x:c r="F117" s="63" t="str">
        <x:v>Сопоставлено; повтор</x:v>
      </x:c>
      <x:c r="G117" s="64" t="str">
        <x:v>Высокая</x:v>
      </x:c>
      <x:c r="H117" s="64" t="n">
        <x:v>137</x:v>
      </x:c>
      <x:c r="I117" s="64" t="str">
        <x:v>Сальдо уже указано в первой строке этой пары.</x:v>
      </x:c>
    </x:row>
    <x:row r="118" ht="30" customHeight="1">
      <x:c r="A118" s="55" t="str">
        <x:v>ТЛК групп</x:v>
      </x:c>
      <x:c r="B118" s="55" t="str">
        <x:v>ГЛАВПРОЕКТ</x:v>
      </x:c>
      <x:c r="C118" s="55" t="str">
        <x:v>ТЛК-ГРУПП ООО</x:v>
      </x:c>
      <x:c r="D118" s="55" t="str">
        <x:v>ГЛАВПРОЕКТ ООО</x:v>
      </x:c>
      <x:c r="E118" s="58"/>
      <x:c r="F118" s="63" t="str">
        <x:v>Сопоставлено; повтор</x:v>
      </x:c>
      <x:c r="G118" s="55" t="str">
        <x:v>Высокая</x:v>
      </x:c>
      <x:c r="H118" s="55" t="n">
        <x:v>137</x:v>
      </x:c>
      <x:c r="I118" s="55" t="str">
        <x:v>Сальдо уже указано в первой строке этой пары.</x:v>
      </x:c>
    </x:row>
    <x:row r="119" ht="30" customHeight="1">
      <x:c r="A119" s="64" t="str">
        <x:v>ТЛК групп</x:v>
      </x:c>
      <x:c r="B119" s="64" t="str">
        <x:v>ГЛАВПРОЕКТ</x:v>
      </x:c>
      <x:c r="C119" s="64" t="str">
        <x:v>ТЛК-ГРУПП ООО</x:v>
      </x:c>
      <x:c r="D119" s="64" t="str">
        <x:v>ГЛАВПРОЕКТ ООО</x:v>
      </x:c>
      <x:c r="E119" s="65"/>
      <x:c r="F119" s="63" t="str">
        <x:v>Сопоставлено; повтор</x:v>
      </x:c>
      <x:c r="G119" s="64" t="str">
        <x:v>Высокая</x:v>
      </x:c>
      <x:c r="H119" s="64" t="n">
        <x:v>137</x:v>
      </x:c>
      <x:c r="I119" s="64" t="str">
        <x:v>Сальдо уже указано в первой строке этой пары.</x:v>
      </x:c>
    </x:row>
    <x:row r="120" ht="30" customHeight="1">
      <x:c r="A120" s="55" t="str">
        <x:v>ТЛК групп</x:v>
      </x:c>
      <x:c r="B120" s="55" t="str">
        <x:v>ГЛАВПРОЕКТ</x:v>
      </x:c>
      <x:c r="C120" s="55" t="str">
        <x:v>ТЛК-ГРУПП ООО</x:v>
      </x:c>
      <x:c r="D120" s="55" t="str">
        <x:v>ГЛАВПРОЕКТ ООО</x:v>
      </x:c>
      <x:c r="E120" s="58"/>
      <x:c r="F120" s="63" t="str">
        <x:v>Сопоставлено; повтор</x:v>
      </x:c>
      <x:c r="G120" s="55" t="str">
        <x:v>Высокая</x:v>
      </x:c>
      <x:c r="H120" s="55" t="n">
        <x:v>137</x:v>
      </x:c>
      <x:c r="I120" s="55" t="str">
        <x:v>Сальдо уже указано в первой строке этой пары.</x:v>
      </x:c>
    </x:row>
    <x:row r="121" ht="30" customHeight="1">
      <x:c r="A121" s="64" t="str">
        <x:v>КАРКАРЫЧ</x:v>
      </x:c>
      <x:c r="B121" s="64" t="str">
        <x:v>ГЛАВПРОЕКТ</x:v>
      </x:c>
      <x:c r="C121" s="64"/>
      <x:c r="D121" s="64"/>
      <x:c r="E121" s="65"/>
      <x:c r="F121" s="66" t="str">
        <x:v>Пара не найдена</x:v>
      </x:c>
      <x:c r="G121" s="64" t="str">
        <x:v>Низкая</x:v>
      </x:c>
      <x:c r="H121" s="64"/>
      <x:c r="I121" s="64" t="str">
        <x:v>Сальдо оставлено пустым: точное совпадение не найдено, догадки не применялись.</x:v>
      </x:c>
    </x:row>
    <x:row r="122" ht="30" customHeight="1">
      <x:c r="A122" s="55" t="str">
        <x:v>КАРКАРЫЧ</x:v>
      </x:c>
      <x:c r="B122" s="55" t="str">
        <x:v>ГЛАВПРОЕКТ</x:v>
      </x:c>
      <x:c r="C122" s="55"/>
      <x:c r="D122" s="55"/>
      <x:c r="E122" s="58"/>
      <x:c r="F122" s="66" t="str">
        <x:v>Пара не найдена</x:v>
      </x:c>
      <x:c r="G122" s="55" t="str">
        <x:v>Низкая</x:v>
      </x:c>
      <x:c r="H122" s="55"/>
      <x:c r="I122" s="55" t="str">
        <x:v>Сальдо оставлено пустым: точное совпадение не найдено, догадки не применялись.</x:v>
      </x:c>
    </x:row>
    <x:row r="123" ht="30" customHeight="1">
      <x:c r="A123" s="64" t="str">
        <x:v>КЛИМОВ</x:v>
      </x:c>
      <x:c r="B123" s="64" t="str">
        <x:v>ГЛАВПРОЕКТ</x:v>
      </x:c>
      <x:c r="C123" s="64"/>
      <x:c r="D123" s="64"/>
      <x:c r="E123" s="65"/>
      <x:c r="F123" s="66" t="str">
        <x:v>Пара не найдена</x:v>
      </x:c>
      <x:c r="G123" s="64" t="str">
        <x:v>Низкая</x:v>
      </x:c>
      <x:c r="H123" s="64"/>
      <x:c r="I123" s="64" t="str">
        <x:v>Сальдо оставлено пустым: точное совпадение не найдено, догадки не применялись.</x:v>
      </x:c>
    </x:row>
    <x:row r="124" ht="30" customHeight="1">
      <x:c r="A124" s="56" t="str">
        <x:v>КЛИМЕНКО</x:v>
      </x:c>
      <x:c r="B124" s="56" t="str">
        <x:v>ГЛАВПРОЕКТ</x:v>
      </x:c>
      <x:c r="C124" s="56"/>
      <x:c r="D124" s="56"/>
      <x:c r="E124" s="59"/>
      <x:c r="F124" s="67" t="str">
        <x:v>Пара не найдена</x:v>
      </x:c>
      <x:c r="G124" s="56" t="str">
        <x:v>Низкая</x:v>
      </x:c>
      <x:c r="H124" s="56"/>
      <x:c r="I124" s="56" t="str">
        <x:v>Сальдо оставлено пустым: точное совпадение не найдено, догадки не применялись.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6" hidden="0" customWidth="1"/>
    <x:col min="5" max="5" width="16" hidden="0" customWidth="1"/>
  </x:cols>
  <x:sheetData>
    <x:row r="1">
      <x:c r="A1" s="4" t="str">
        <x:v>КОНЕЧНОЕ САЛЬДО НА 13.08.2026 — ИСХОДНЫЕ ПАРЫ</x:v>
      </x:c>
      <x:c r="B1" s="4"/>
      <x:c r="C1" s="4"/>
      <x:c r="D1" s="4"/>
      <x:c r="E1" s="4"/>
    </x:row>
    <x:row r="3">
      <x:c r="A3" s="15" t="str">
        <x:v>ПЛАТЕЛЬЩИК (Организация)</x:v>
      </x:c>
      <x:c r="B3" s="15" t="str">
        <x:v>ПОСТАВЩИК (Контрагент)</x:v>
      </x:c>
      <x:c r="C3" s="15" t="str">
        <x:v>Конечное сальдо</x:v>
      </x:c>
      <x:c r="D3" s="15" t="str">
        <x:v>Строка источника</x:v>
      </x:c>
      <x:c r="E3" s="15" t="str">
        <x:v>Поле заполнено</x:v>
      </x:c>
    </x:row>
    <x:row r="4" ht="22" customHeight="1">
      <x:c r="A4" s="74" t="str">
        <x:v>ВР-ЛОГИСТИК</x:v>
      </x:c>
      <x:c r="B4" s="74" t="str">
        <x:v>АЛБИМАКС МЕТАЛЛ ООО</x:v>
      </x:c>
      <x:c r="C4" s="75" t="n">
        <x:v>-85843198.69</x:v>
      </x:c>
      <x:c r="D4" s="74" t="n">
        <x:v>13</x:v>
      </x:c>
      <x:c r="E4" s="74" t="str">
        <x:v>Да</x:v>
      </x:c>
    </x:row>
    <x:row r="5" ht="22" customHeight="1">
      <x:c r="A5" s="69" t="str">
        <x:v>ВР-ЛОГИСТИК</x:v>
      </x:c>
      <x:c r="B5" s="69" t="str">
        <x:v>АЛЬФА-БАНК АО</x:v>
      </x:c>
      <x:c r="C5" s="72" t="n">
        <x:v>-1133.22</x:v>
      </x:c>
      <x:c r="D5" s="69" t="n">
        <x:v>16</x:v>
      </x:c>
      <x:c r="E5" s="69" t="str">
        <x:v>Да</x:v>
      </x:c>
    </x:row>
    <x:row r="6" ht="22" customHeight="1">
      <x:c r="A6" s="76" t="str">
        <x:v>ВР-ЛОГИСТИК</x:v>
      </x:c>
      <x:c r="B6" s="76" t="str">
        <x:v>ВсеИнструменты.ру ООО</x:v>
      </x:c>
      <x:c r="C6" s="77" t="n">
        <x:v>81</x:v>
      </x:c>
      <x:c r="D6" s="76" t="n">
        <x:v>18</x:v>
      </x:c>
      <x:c r="E6" s="76" t="str">
        <x:v>Да</x:v>
      </x:c>
    </x:row>
    <x:row r="7" ht="22" customHeight="1">
      <x:c r="A7" s="69" t="str">
        <x:v>ВР-ЛОГИСТИК</x:v>
      </x:c>
      <x:c r="B7" s="69" t="str">
        <x:v>ВЫМПЕЛКОМ ПАО</x:v>
      </x:c>
      <x:c r="C7" s="72" t="n">
        <x:v>2.53</x:v>
      </x:c>
      <x:c r="D7" s="69" t="n">
        <x:v>20</x:v>
      </x:c>
      <x:c r="E7" s="69" t="str">
        <x:v>Да</x:v>
      </x:c>
    </x:row>
    <x:row r="8" ht="22" customHeight="1">
      <x:c r="A8" s="76" t="str">
        <x:v>ВР-ЛОГИСТИК</x:v>
      </x:c>
      <x:c r="B8" s="76" t="str">
        <x:v>ГЛАВПРОЕКТ ООО</x:v>
      </x:c>
      <x:c r="C8" s="77" t="n">
        <x:v>34860091.21</x:v>
      </x:c>
      <x:c r="D8" s="76" t="n">
        <x:v>22</x:v>
      </x:c>
      <x:c r="E8" s="76" t="str">
        <x:v>Да</x:v>
      </x:c>
    </x:row>
    <x:row r="9" ht="22" customHeight="1">
      <x:c r="A9" s="69" t="str">
        <x:v>ВР-ЛОГИСТИК</x:v>
      </x:c>
      <x:c r="B9" s="69" t="str">
        <x:v>ДЕЛОВЫЕ ЛИНИИ ООО</x:v>
      </x:c>
      <x:c r="C9" s="72" t="n">
        <x:v>2010</x:v>
      </x:c>
      <x:c r="D9" s="69" t="n">
        <x:v>26</x:v>
      </x:c>
      <x:c r="E9" s="69" t="str">
        <x:v>Да</x:v>
      </x:c>
    </x:row>
    <x:row r="10" ht="22" customHeight="1">
      <x:c r="A10" s="76" t="str">
        <x:v>ВР-ЛОГИСТИК</x:v>
      </x:c>
      <x:c r="B10" s="76" t="str">
        <x:v>МАСТЕР МЕТАЛЛ АО</x:v>
      </x:c>
      <x:c r="C10" s="77" t="n">
        <x:v>102776.5</x:v>
      </x:c>
      <x:c r="D10" s="76" t="n">
        <x:v>28</x:v>
      </x:c>
      <x:c r="E10" s="76" t="str">
        <x:v>Да</x:v>
      </x:c>
    </x:row>
    <x:row r="11" ht="22" customHeight="1">
      <x:c r="A11" s="69" t="str">
        <x:v>ВР-ЛОГИСТИК</x:v>
      </x:c>
      <x:c r="B11" s="69" t="str">
        <x:v>РСИЦ АО</x:v>
      </x:c>
      <x:c r="C11" s="72" t="n">
        <x:v>2159</x:v>
      </x:c>
      <x:c r="D11" s="69" t="n">
        <x:v>30</x:v>
      </x:c>
      <x:c r="E11" s="69" t="str">
        <x:v>Да</x:v>
      </x:c>
    </x:row>
    <x:row r="12" ht="22" customHeight="1">
      <x:c r="A12" s="76" t="str">
        <x:v>ВР-ЛОГИСТИК</x:v>
      </x:c>
      <x:c r="B12" s="76" t="str">
        <x:v>ТЕХНОПЛАСТ33 ООО</x:v>
      </x:c>
      <x:c r="C12" s="77" t="n">
        <x:v>-6676.55</x:v>
      </x:c>
      <x:c r="D12" s="76" t="n">
        <x:v>32</x:v>
      </x:c>
      <x:c r="E12" s="76" t="str">
        <x:v>Да</x:v>
      </x:c>
    </x:row>
    <x:row r="13" ht="22" customHeight="1">
      <x:c r="A13" s="69" t="str">
        <x:v>ВР-ЛОГИСТИК</x:v>
      </x:c>
      <x:c r="B13" s="69" t="str">
        <x:v>ТРАНСПОРТНАЯ ЭКСПЕДИЦИЯ ООО</x:v>
      </x:c>
      <x:c r="C13" s="72" t="n">
        <x:v>34899443.77</x:v>
      </x:c>
      <x:c r="D13" s="69" t="n">
        <x:v>34</x:v>
      </x:c>
      <x:c r="E13" s="69" t="str">
        <x:v>Да</x:v>
      </x:c>
    </x:row>
    <x:row r="14" ht="22" customHeight="1">
      <x:c r="A14" s="76" t="str">
        <x:v>ГЛАВПРОЕКТ ООО</x:v>
      </x:c>
      <x:c r="B14" s="76" t="str">
        <x:v>АЛБИМАКС МЕТАЛЛ ООО</x:v>
      </x:c>
      <x:c r="C14" s="77" t="n">
        <x:v>-62462596.86</x:v>
      </x:c>
      <x:c r="D14" s="76" t="n">
        <x:v>40</x:v>
      </x:c>
      <x:c r="E14" s="76" t="str">
        <x:v>Да</x:v>
      </x:c>
    </x:row>
    <x:row r="15" ht="22" customHeight="1">
      <x:c r="A15" s="69" t="str">
        <x:v>ГЛАВПРОЕКТ ООО</x:v>
      </x:c>
      <x:c r="B15" s="69" t="str">
        <x:v>АЛЬФА-БАНК АО</x:v>
      </x:c>
      <x:c r="C15" s="72" t="n">
        <x:v>2010</x:v>
      </x:c>
      <x:c r="D15" s="69" t="n">
        <x:v>46</x:v>
      </x:c>
      <x:c r="E15" s="69" t="str">
        <x:v>Да</x:v>
      </x:c>
    </x:row>
    <x:row r="16" ht="22" customHeight="1">
      <x:c r="A16" s="76" t="str">
        <x:v>ГЛАВПРОЕКТ ООО</x:v>
      </x:c>
      <x:c r="B16" s="76" t="str">
        <x:v>БЕЛПРОМСВЕТ ООО</x:v>
      </x:c>
      <x:c r="C16" s="77" t="n">
        <x:v>45515</x:v>
      </x:c>
      <x:c r="D16" s="76" t="n">
        <x:v>48</x:v>
      </x:c>
      <x:c r="E16" s="76" t="str">
        <x:v>Да</x:v>
      </x:c>
    </x:row>
    <x:row r="17" ht="22" customHeight="1">
      <x:c r="A17" s="69" t="str">
        <x:v>ГЛАВПРОЕКТ ООО</x:v>
      </x:c>
      <x:c r="B17" s="69" t="str">
        <x:v>ВЛАДИМИРВОДОКАНАЛ МУП</x:v>
      </x:c>
      <x:c r="C17" s="72" t="n">
        <x:v>8558.55</x:v>
      </x:c>
      <x:c r="D17" s="69" t="n">
        <x:v>50</x:v>
      </x:c>
      <x:c r="E17" s="69" t="str">
        <x:v>Да</x:v>
      </x:c>
    </x:row>
    <x:row r="18" ht="22" customHeight="1">
      <x:c r="A18" s="76" t="str">
        <x:v>ГЛАВПРОЕКТ ООО</x:v>
      </x:c>
      <x:c r="B18" s="76" t="str">
        <x:v>Володина Л.В.</x:v>
      </x:c>
      <x:c r="C18" s="77" t="n">
        <x:v>-0.56</x:v>
      </x:c>
      <x:c r="D18" s="76" t="n">
        <x:v>52</x:v>
      </x:c>
      <x:c r="E18" s="76" t="str">
        <x:v>Да</x:v>
      </x:c>
    </x:row>
    <x:row r="19" ht="22" customHeight="1">
      <x:c r="A19" s="69" t="str">
        <x:v>ГЛАВПРОЕКТ ООО</x:v>
      </x:c>
      <x:c r="B19" s="69" t="str">
        <x:v>Воронин Матвей Сергеевич ИП</x:v>
      </x:c>
      <x:c r="C19" s="72" t="n">
        <x:v>19500</x:v>
      </x:c>
      <x:c r="D19" s="69" t="n">
        <x:v>54</x:v>
      </x:c>
      <x:c r="E19" s="69" t="str">
        <x:v>Да</x:v>
      </x:c>
    </x:row>
    <x:row r="20" ht="22" customHeight="1">
      <x:c r="A20" s="76" t="str">
        <x:v>ГЛАВПРОЕКТ ООО</x:v>
      </x:c>
      <x:c r="B20" s="76" t="str">
        <x:v>Воронцов Сергей Александрович</x:v>
      </x:c>
      <x:c r="C20" s="77" t="n">
        <x:v>50</x:v>
      </x:c>
      <x:c r="D20" s="76" t="n">
        <x:v>56</x:v>
      </x:c>
      <x:c r="E20" s="76" t="str">
        <x:v>Да</x:v>
      </x:c>
    </x:row>
    <x:row r="21" ht="22" customHeight="1">
      <x:c r="A21" s="69" t="str">
        <x:v>ГЛАВПРОЕКТ ООО</x:v>
      </x:c>
      <x:c r="B21" s="69" t="str">
        <x:v>ВР - ЛОГИСТИК ООО</x:v>
      </x:c>
      <x:c r="C21" s="72" t="n">
        <x:v>-18784169.59</x:v>
      </x:c>
      <x:c r="D21" s="69" t="n">
        <x:v>58</x:v>
      </x:c>
      <x:c r="E21" s="69" t="str">
        <x:v>Да</x:v>
      </x:c>
    </x:row>
    <x:row r="22" ht="22" customHeight="1">
      <x:c r="A22" s="76" t="str">
        <x:v>ГЛАВПРОЕКТ ООО</x:v>
      </x:c>
      <x:c r="B22" s="76" t="str">
        <x:v>ВсеИнструменты.ру ООО</x:v>
      </x:c>
      <x:c r="C22" s="77" t="n">
        <x:v>58151.33</x:v>
      </x:c>
      <x:c r="D22" s="76" t="n">
        <x:v>62</x:v>
      </x:c>
      <x:c r="E22" s="76" t="str">
        <x:v>Да</x:v>
      </x:c>
    </x:row>
    <x:row r="23" ht="22" customHeight="1">
      <x:c r="A23" s="69" t="str">
        <x:v>ГЛАВПРОЕКТ ООО</x:v>
      </x:c>
      <x:c r="B23" s="69" t="str">
        <x:v>ВСК САО</x:v>
      </x:c>
      <x:c r="C23" s="72" t="n">
        <x:v>18000</x:v>
      </x:c>
      <x:c r="D23" s="69" t="n">
        <x:v>64</x:v>
      </x:c>
      <x:c r="E23" s="69" t="str">
        <x:v>Да</x:v>
      </x:c>
    </x:row>
    <x:row r="24" ht="22" customHeight="1">
      <x:c r="A24" s="76" t="str">
        <x:v>ГЛАВПРОЕКТ ООО</x:v>
      </x:c>
      <x:c r="B24" s="76" t="str">
        <x:v>ВЫМПЕЛКОМ ПАО</x:v>
      </x:c>
      <x:c r="C24" s="77" t="n">
        <x:v>2055.63</x:v>
      </x:c>
      <x:c r="D24" s="76" t="n">
        <x:v>66</x:v>
      </x:c>
      <x:c r="E24" s="76" t="str">
        <x:v>Да</x:v>
      </x:c>
    </x:row>
    <x:row r="25" ht="22" customHeight="1">
      <x:c r="A25" s="69" t="str">
        <x:v>ГЛАВПРОЕКТ ООО</x:v>
      </x:c>
      <x:c r="B25" s="69" t="str">
        <x:v>ГАЗПРОМ МЕЖРЕГИОНГАЗ ВЛАДИМИР ООО</x:v>
      </x:c>
      <x:c r="C25" s="72"/>
      <x:c r="D25" s="69" t="n">
        <x:v>68</x:v>
      </x:c>
      <x:c r="E25" s="69" t="str">
        <x:v>Нет</x:v>
      </x:c>
    </x:row>
    <x:row r="26" ht="22" customHeight="1">
      <x:c r="A26" s="76" t="str">
        <x:v>ГЛАВПРОЕКТ ООО</x:v>
      </x:c>
      <x:c r="B26" s="76" t="str">
        <x:v>Группа МЕТТАТРОН</x:v>
      </x:c>
      <x:c r="C26" s="77"/>
      <x:c r="D26" s="76" t="n">
        <x:v>70</x:v>
      </x:c>
      <x:c r="E26" s="76" t="str">
        <x:v>Нет</x:v>
      </x:c>
    </x:row>
    <x:row r="27" ht="22" customHeight="1">
      <x:c r="A27" s="69" t="str">
        <x:v>ГЛАВПРОЕКТ ООО</x:v>
      </x:c>
      <x:c r="B27" s="69" t="str">
        <x:v>ГСБ ООО</x:v>
      </x:c>
      <x:c r="C27" s="72" t="n">
        <x:v>430136.14</x:v>
      </x:c>
      <x:c r="D27" s="69" t="n">
        <x:v>72</x:v>
      </x:c>
      <x:c r="E27" s="69" t="str">
        <x:v>Да</x:v>
      </x:c>
    </x:row>
    <x:row r="28" ht="22" customHeight="1">
      <x:c r="A28" s="76" t="str">
        <x:v>ГЛАВПРОЕКТ ООО</x:v>
      </x:c>
      <x:c r="B28" s="76" t="str">
        <x:v>ДЕЛОВЫЕ ЛИНИИ ООО</x:v>
      </x:c>
      <x:c r="C28" s="77" t="n">
        <x:v>11494</x:v>
      </x:c>
      <x:c r="D28" s="76" t="n">
        <x:v>75</x:v>
      </x:c>
      <x:c r="E28" s="76" t="str">
        <x:v>Да</x:v>
      </x:c>
    </x:row>
    <x:row r="29" ht="22" customHeight="1">
      <x:c r="A29" s="69" t="str">
        <x:v>ГЛАВПРОЕКТ ООО</x:v>
      </x:c>
      <x:c r="B29" s="69" t="str">
        <x:v>ЕВРОТОРГ ООО</x:v>
      </x:c>
      <x:c r="C29" s="72" t="n">
        <x:v>-50</x:v>
      </x:c>
      <x:c r="D29" s="69" t="n">
        <x:v>77</x:v>
      </x:c>
      <x:c r="E29" s="69" t="str">
        <x:v>Да</x:v>
      </x:c>
    </x:row>
    <x:row r="30" ht="22" customHeight="1">
      <x:c r="A30" s="76" t="str">
        <x:v>ГЛАВПРОЕКТ ООО</x:v>
      </x:c>
      <x:c r="B30" s="76" t="str">
        <x:v>ИНСТРУМЕНТЫ УПРАВЛЕНИЯ БИЗНЕСОМ ООО</x:v>
      </x:c>
      <x:c r="C30" s="77" t="n">
        <x:v>40020</x:v>
      </x:c>
      <x:c r="D30" s="76" t="n">
        <x:v>79</x:v>
      </x:c>
      <x:c r="E30" s="76" t="str">
        <x:v>Да</x:v>
      </x:c>
    </x:row>
    <x:row r="31" ht="22" customHeight="1">
      <x:c r="A31" s="69" t="str">
        <x:v>ГЛАВПРОЕКТ ООО</x:v>
      </x:c>
      <x:c r="B31" s="69" t="str">
        <x:v>ИП Курбатова О.Н.</x:v>
      </x:c>
      <x:c r="C31" s="72" t="n">
        <x:v>9000</x:v>
      </x:c>
      <x:c r="D31" s="69" t="n">
        <x:v>81</x:v>
      </x:c>
      <x:c r="E31" s="69" t="str">
        <x:v>Да</x:v>
      </x:c>
    </x:row>
    <x:row r="32" ht="22" customHeight="1">
      <x:c r="A32" s="76" t="str">
        <x:v>ГЛАВПРОЕКТ ООО</x:v>
      </x:c>
      <x:c r="B32" s="76" t="str">
        <x:v>Колесник Анастасия Сергеевна</x:v>
      </x:c>
      <x:c r="C32" s="77" t="n">
        <x:v>26604.25</x:v>
      </x:c>
      <x:c r="D32" s="76" t="n">
        <x:v>83</x:v>
      </x:c>
      <x:c r="E32" s="76" t="str">
        <x:v>Да</x:v>
      </x:c>
    </x:row>
    <x:row r="33" ht="22" customHeight="1">
      <x:c r="A33" s="69" t="str">
        <x:v>ГЛАВПРОЕКТ ООО</x:v>
      </x:c>
      <x:c r="B33" s="69" t="str">
        <x:v>КОМПАНИЯ ВЛАДИМИРОВ И ПАРТНЕР ООО</x:v>
      </x:c>
      <x:c r="C33" s="72" t="n">
        <x:v>68386.33</x:v>
      </x:c>
      <x:c r="D33" s="69" t="n">
        <x:v>85</x:v>
      </x:c>
      <x:c r="E33" s="69" t="str">
        <x:v>Да</x:v>
      </x:c>
    </x:row>
    <x:row r="34" ht="22" customHeight="1">
      <x:c r="A34" s="76" t="str">
        <x:v>ГЛАВПРОЕКТ ООО</x:v>
      </x:c>
      <x:c r="B34" s="76" t="str">
        <x:v>КОМПАНИЯАВТОКАРД ООО</x:v>
      </x:c>
      <x:c r="C34" s="77" t="n">
        <x:v>381.98</x:v>
      </x:c>
      <x:c r="D34" s="76" t="n">
        <x:v>87</x:v>
      </x:c>
      <x:c r="E34" s="76" t="str">
        <x:v>Да</x:v>
      </x:c>
    </x:row>
    <x:row r="35" ht="22" customHeight="1">
      <x:c r="A35" s="69" t="str">
        <x:v>ГЛАВПРОЕКТ ООО</x:v>
      </x:c>
      <x:c r="B35" s="69" t="str">
        <x:v>КРИСТЭЛ КЛИНИНГ ООО</x:v>
      </x:c>
      <x:c r="C35" s="72"/>
      <x:c r="D35" s="69" t="n">
        <x:v>89</x:v>
      </x:c>
      <x:c r="E35" s="69" t="str">
        <x:v>Нет</x:v>
      </x:c>
    </x:row>
    <x:row r="36" ht="22" customHeight="1">
      <x:c r="A36" s="76" t="str">
        <x:v>ГЛАВПРОЕКТ ООО</x:v>
      </x:c>
      <x:c r="B36" s="76" t="str">
        <x:v>ЛВТ ООО</x:v>
      </x:c>
      <x:c r="C36" s="77" t="n">
        <x:v>3000325.15</x:v>
      </x:c>
      <x:c r="D36" s="76" t="n">
        <x:v>91</x:v>
      </x:c>
      <x:c r="E36" s="76" t="str">
        <x:v>Да</x:v>
      </x:c>
    </x:row>
    <x:row r="37" ht="22" customHeight="1">
      <x:c r="A37" s="69" t="str">
        <x:v>ГЛАВПРОЕКТ ООО</x:v>
      </x:c>
      <x:c r="B37" s="69" t="str">
        <x:v>Липский Николай Александрович</x:v>
      </x:c>
      <x:c r="C37" s="72" t="n">
        <x:v>130</x:v>
      </x:c>
      <x:c r="D37" s="69" t="n">
        <x:v>93</x:v>
      </x:c>
      <x:c r="E37" s="69" t="str">
        <x:v>Да</x:v>
      </x:c>
    </x:row>
    <x:row r="38" ht="22" customHeight="1">
      <x:c r="A38" s="76" t="str">
        <x:v>ГЛАВПРОЕКТ ООО</x:v>
      </x:c>
      <x:c r="B38" s="76" t="str">
        <x:v>МАНГО ТЕЛЕКОМ ООО</x:v>
      </x:c>
      <x:c r="C38" s="77" t="n">
        <x:v>68868.97</x:v>
      </x:c>
      <x:c r="D38" s="76" t="n">
        <x:v>95</x:v>
      </x:c>
      <x:c r="E38" s="76" t="str">
        <x:v>Да</x:v>
      </x:c>
    </x:row>
    <x:row r="39" ht="22" customHeight="1">
      <x:c r="A39" s="69" t="str">
        <x:v>ГЛАВПРОЕКТ ООО</x:v>
      </x:c>
      <x:c r="B39" s="69" t="str">
        <x:v>МАСТЕР МЕТАЛЛ АО</x:v>
      </x:c>
      <x:c r="C39" s="72" t="n">
        <x:v>1455.5</x:v>
      </x:c>
      <x:c r="D39" s="69" t="n">
        <x:v>97</x:v>
      </x:c>
      <x:c r="E39" s="69" t="str">
        <x:v>Да</x:v>
      </x:c>
    </x:row>
    <x:row r="40" ht="22" customHeight="1">
      <x:c r="A40" s="76" t="str">
        <x:v>ГЛАВПРОЕКТ ООО</x:v>
      </x:c>
      <x:c r="B40" s="76" t="str">
        <x:v>МЕГАФОН ПАО</x:v>
      </x:c>
      <x:c r="C40" s="77" t="n">
        <x:v>120369.86</x:v>
      </x:c>
      <x:c r="D40" s="76" t="n">
        <x:v>99</x:v>
      </x:c>
      <x:c r="E40" s="76" t="str">
        <x:v>Да</x:v>
      </x:c>
    </x:row>
    <x:row r="41" ht="22" customHeight="1">
      <x:c r="A41" s="69" t="str">
        <x:v>ГЛАВПРОЕКТ ООО</x:v>
      </x:c>
      <x:c r="B41" s="69" t="str">
        <x:v>Металлоторг АО</x:v>
      </x:c>
      <x:c r="C41" s="72" t="n">
        <x:v>1002.05</x:v>
      </x:c>
      <x:c r="D41" s="69" t="n">
        <x:v>101</x:v>
      </x:c>
      <x:c r="E41" s="69" t="str">
        <x:v>Да</x:v>
      </x:c>
    </x:row>
    <x:row r="42" ht="22" customHeight="1">
      <x:c r="A42" s="76" t="str">
        <x:v>ГЛАВПРОЕКТ ООО</x:v>
      </x:c>
      <x:c r="B42" s="76" t="str">
        <x:v>МТТ АО</x:v>
      </x:c>
      <x:c r="C42" s="77" t="n">
        <x:v>-19.1</x:v>
      </x:c>
      <x:c r="D42" s="76" t="n">
        <x:v>103</x:v>
      </x:c>
      <x:c r="E42" s="76" t="str">
        <x:v>Да</x:v>
      </x:c>
    </x:row>
    <x:row r="43" ht="22" customHeight="1">
      <x:c r="A43" s="69" t="str">
        <x:v>ГЛАВПРОЕКТ ООО</x:v>
      </x:c>
      <x:c r="B43" s="69" t="str">
        <x:v>МТХ ООО</x:v>
      </x:c>
      <x:c r="C43" s="72" t="n">
        <x:v>107641.34</x:v>
      </x:c>
      <x:c r="D43" s="69" t="n">
        <x:v>105</x:v>
      </x:c>
      <x:c r="E43" s="69" t="str">
        <x:v>Да</x:v>
      </x:c>
    </x:row>
    <x:row r="44" ht="22" customHeight="1">
      <x:c r="A44" s="76" t="str">
        <x:v>ГЛАВПРОЕКТ ООО</x:v>
      </x:c>
      <x:c r="B44" s="76" t="str">
        <x:v>МЭЙДЖОР ЭКСПРЕСС ООО</x:v>
      </x:c>
      <x:c r="C44" s="77" t="n">
        <x:v>1</x:v>
      </x:c>
      <x:c r="D44" s="76" t="n">
        <x:v>107</x:v>
      </x:c>
      <x:c r="E44" s="76" t="str">
        <x:v>Да</x:v>
      </x:c>
    </x:row>
    <x:row r="45" ht="22" customHeight="1">
      <x:c r="A45" s="69" t="str">
        <x:v>ГЛАВПРОЕКТ ООО</x:v>
      </x:c>
      <x:c r="B45" s="69" t="str">
        <x:v>НИЖЕГОРОДЭЛЕКТРОЗАЩИТА ООО</x:v>
      </x:c>
      <x:c r="C45" s="72" t="n">
        <x:v>33194.37</x:v>
      </x:c>
      <x:c r="D45" s="69" t="n">
        <x:v>109</x:v>
      </x:c>
      <x:c r="E45" s="69" t="str">
        <x:v>Да</x:v>
      </x:c>
    </x:row>
    <x:row r="46" ht="22" customHeight="1">
      <x:c r="A46" s="76" t="str">
        <x:v>ГЛАВПРОЕКТ ООО</x:v>
      </x:c>
      <x:c r="B46" s="76" t="str">
        <x:v>ОГНЕЗА ООО</x:v>
      </x:c>
      <x:c r="C46" s="77" t="n">
        <x:v>10236</x:v>
      </x:c>
      <x:c r="D46" s="76" t="n">
        <x:v>111</x:v>
      </x:c>
      <x:c r="E46" s="76" t="str">
        <x:v>Да</x:v>
      </x:c>
    </x:row>
    <x:row r="47" ht="22" customHeight="1">
      <x:c r="A47" s="69" t="str">
        <x:v>ГЛАВПРОЕКТ ООО</x:v>
      </x:c>
      <x:c r="B47" s="69" t="str">
        <x:v>Панова Жанна Сергеевна</x:v>
      </x:c>
      <x:c r="C47" s="72" t="n">
        <x:v>-8750</x:v>
      </x:c>
      <x:c r="D47" s="69" t="n">
        <x:v>113</x:v>
      </x:c>
      <x:c r="E47" s="69" t="str">
        <x:v>Да</x:v>
      </x:c>
    </x:row>
    <x:row r="48" ht="22" customHeight="1">
      <x:c r="A48" s="76" t="str">
        <x:v>ГЛАВПРОЕКТ ООО</x:v>
      </x:c>
      <x:c r="B48" s="76" t="str">
        <x:v>ПРОМСЕРВИС ООО</x:v>
      </x:c>
      <x:c r="C48" s="77" t="n">
        <x:v>-38967434.68</x:v>
      </x:c>
      <x:c r="D48" s="76" t="n">
        <x:v>115</x:v>
      </x:c>
      <x:c r="E48" s="76" t="str">
        <x:v>Да</x:v>
      </x:c>
    </x:row>
    <x:row r="49" ht="22" customHeight="1">
      <x:c r="A49" s="69" t="str">
        <x:v>ГЛАВПРОЕКТ ООО</x:v>
      </x:c>
      <x:c r="B49" s="69" t="str">
        <x:v>ПРОФКОНТРОЛЬ ООО ТД</x:v>
      </x:c>
      <x:c r="C49" s="72" t="n">
        <x:v>-8760</x:v>
      </x:c>
      <x:c r="D49" s="69" t="n">
        <x:v>117</x:v>
      </x:c>
      <x:c r="E49" s="69" t="str">
        <x:v>Да</x:v>
      </x:c>
    </x:row>
    <x:row r="50" ht="22" customHeight="1">
      <x:c r="A50" s="76" t="str">
        <x:v>ГЛАВПРОЕКТ ООО</x:v>
      </x:c>
      <x:c r="B50" s="76" t="str">
        <x:v>РСИЦ АО</x:v>
      </x:c>
      <x:c r="C50" s="77" t="n">
        <x:v>10749</x:v>
      </x:c>
      <x:c r="D50" s="76" t="n">
        <x:v>119</x:v>
      </x:c>
      <x:c r="E50" s="76" t="str">
        <x:v>Да</x:v>
      </x:c>
    </x:row>
    <x:row r="51" ht="22" customHeight="1">
      <x:c r="A51" s="69" t="str">
        <x:v>ГЛАВПРОЕКТ ООО</x:v>
      </x:c>
      <x:c r="B51" s="69" t="str">
        <x:v>РУС-КОР ООО</x:v>
      </x:c>
      <x:c r="C51" s="72" t="n">
        <x:v>-2200</x:v>
      </x:c>
      <x:c r="D51" s="69" t="n">
        <x:v>121</x:v>
      </x:c>
      <x:c r="E51" s="69" t="str">
        <x:v>Да</x:v>
      </x:c>
    </x:row>
    <x:row r="52" ht="22" customHeight="1">
      <x:c r="A52" s="76" t="str">
        <x:v>ГЛАВПРОЕКТ ООО</x:v>
      </x:c>
      <x:c r="B52" s="76" t="str">
        <x:v>СЕРТУМ-ПРО ООО</x:v>
      </x:c>
      <x:c r="C52" s="77" t="n">
        <x:v>1000</x:v>
      </x:c>
      <x:c r="D52" s="76" t="n">
        <x:v>123</x:v>
      </x:c>
      <x:c r="E52" s="76" t="str">
        <x:v>Да</x:v>
      </x:c>
    </x:row>
    <x:row r="53" ht="22" customHeight="1">
      <x:c r="A53" s="69" t="str">
        <x:v>ГЛАВПРОЕКТ ООО</x:v>
      </x:c>
      <x:c r="B53" s="69" t="str">
        <x:v>Смирнов Максим Юрьевич ИП</x:v>
      </x:c>
      <x:c r="C53" s="72" t="n">
        <x:v>-1.11</x:v>
      </x:c>
      <x:c r="D53" s="69" t="n">
        <x:v>125</x:v>
      </x:c>
      <x:c r="E53" s="69" t="str">
        <x:v>Да</x:v>
      </x:c>
    </x:row>
    <x:row r="54" ht="22" customHeight="1">
      <x:c r="A54" s="76" t="str">
        <x:v>ГЛАВПРОЕКТ ООО</x:v>
      </x:c>
      <x:c r="B54" s="76" t="str">
        <x:v>СТАЛЬГАЗ ООО</x:v>
      </x:c>
      <x:c r="C54" s="77" t="n">
        <x:v>-1080</x:v>
      </x:c>
      <x:c r="D54" s="76" t="n">
        <x:v>127</x:v>
      </x:c>
      <x:c r="E54" s="76" t="str">
        <x:v>Да</x:v>
      </x:c>
    </x:row>
    <x:row r="55" ht="22" customHeight="1">
      <x:c r="A55" s="69" t="str">
        <x:v>ГЛАВПРОЕКТ ООО</x:v>
      </x:c>
      <x:c r="B55" s="69" t="str">
        <x:v>СТУДИЯ КРАСОТЫ ООО</x:v>
      </x:c>
      <x:c r="C55" s="72" t="n">
        <x:v>-312439.4</x:v>
      </x:c>
      <x:c r="D55" s="69" t="n">
        <x:v>129</x:v>
      </x:c>
      <x:c r="E55" s="69" t="str">
        <x:v>Да</x:v>
      </x:c>
    </x:row>
    <x:row r="56" ht="22" customHeight="1">
      <x:c r="A56" s="76" t="str">
        <x:v>ГЛАВПРОЕКТ ООО</x:v>
      </x:c>
      <x:c r="B56" s="76" t="str">
        <x:v>ТД МЕГАСТАЛЬ ООО</x:v>
      </x:c>
      <x:c r="C56" s="77" t="n">
        <x:v>-14572</x:v>
      </x:c>
      <x:c r="D56" s="76" t="n">
        <x:v>131</x:v>
      </x:c>
      <x:c r="E56" s="76" t="str">
        <x:v>Да</x:v>
      </x:c>
    </x:row>
    <x:row r="57" ht="22" customHeight="1">
      <x:c r="A57" s="69" t="str">
        <x:v>ГЛАВПРОЕКТ ООО</x:v>
      </x:c>
      <x:c r="B57" s="69" t="str">
        <x:v>ТЕХНОПЛАСТ33 ООО</x:v>
      </x:c>
      <x:c r="C57" s="72" t="n">
        <x:v>-0.01</x:v>
      </x:c>
      <x:c r="D57" s="69" t="n">
        <x:v>133</x:v>
      </x:c>
      <x:c r="E57" s="69" t="str">
        <x:v>Да</x:v>
      </x:c>
    </x:row>
    <x:row r="58" ht="22" customHeight="1">
      <x:c r="A58" s="76" t="str">
        <x:v>ГЛАВПРОЕКТ ООО</x:v>
      </x:c>
      <x:c r="B58" s="76" t="str">
        <x:v>ТКАНИТЕКС+ ООО</x:v>
      </x:c>
      <x:c r="C58" s="77" t="n">
        <x:v>25500</x:v>
      </x:c>
      <x:c r="D58" s="76" t="n">
        <x:v>135</x:v>
      </x:c>
      <x:c r="E58" s="76" t="str">
        <x:v>Да</x:v>
      </x:c>
    </x:row>
    <x:row r="59" ht="22" customHeight="1">
      <x:c r="A59" s="69" t="str">
        <x:v>ГЛАВПРОЕКТ ООО</x:v>
      </x:c>
      <x:c r="B59" s="69" t="str">
        <x:v>ТЛК-ГРУПП ООО</x:v>
      </x:c>
      <x:c r="C59" s="72" t="n">
        <x:v>-546500</x:v>
      </x:c>
      <x:c r="D59" s="69" t="n">
        <x:v>137</x:v>
      </x:c>
      <x:c r="E59" s="69" t="str">
        <x:v>Да</x:v>
      </x:c>
    </x:row>
    <x:row r="60" ht="22" customHeight="1">
      <x:c r="A60" s="76" t="str">
        <x:v>ГЛАВПРОЕКТ ООО</x:v>
      </x:c>
      <x:c r="B60" s="76" t="str">
        <x:v>ТРАНСПОРТНАЯ ЭКСПЕДИЦИЯ ООО</x:v>
      </x:c>
      <x:c r="C60" s="77" t="n">
        <x:v>16358395.32</x:v>
      </x:c>
      <x:c r="D60" s="76" t="n">
        <x:v>139</x:v>
      </x:c>
      <x:c r="E60" s="76" t="str">
        <x:v>Да</x:v>
      </x:c>
    </x:row>
    <x:row r="61" ht="22" customHeight="1">
      <x:c r="A61" s="69" t="str">
        <x:v>ГЛАВПРОЕКТ ООО</x:v>
      </x:c>
      <x:c r="B61" s="69" t="str">
        <x:v>ФИНАМ ООО</x:v>
      </x:c>
      <x:c r="C61" s="72" t="n">
        <x:v>-15157918.48</x:v>
      </x:c>
      <x:c r="D61" s="69" t="n">
        <x:v>143</x:v>
      </x:c>
      <x:c r="E61" s="69" t="str">
        <x:v>Да</x:v>
      </x:c>
    </x:row>
    <x:row r="62" ht="22" customHeight="1">
      <x:c r="A62" s="76" t="str">
        <x:v>ГЛАВПРОЕКТ ООО</x:v>
      </x:c>
      <x:c r="B62" s="76" t="str">
        <x:v>ФК ОТКРЫТИЕ ПАО БАНК</x:v>
      </x:c>
      <x:c r="C62" s="77" t="n">
        <x:v>-3274.17</x:v>
      </x:c>
      <x:c r="D62" s="76" t="n">
        <x:v>147</x:v>
      </x:c>
      <x:c r="E62" s="76" t="str">
        <x:v>Да</x:v>
      </x:c>
    </x:row>
    <x:row r="63" ht="22" customHeight="1">
      <x:c r="A63" s="69" t="str">
        <x:v>ГЛАВПРОЕКТ ООО</x:v>
      </x:c>
      <x:c r="B63" s="69" t="str">
        <x:v>ФОРМОС ТК ООО</x:v>
      </x:c>
      <x:c r="C63" s="72" t="n">
        <x:v>-242642.4</x:v>
      </x:c>
      <x:c r="D63" s="69" t="n">
        <x:v>149</x:v>
      </x:c>
      <x:c r="E63" s="69" t="str">
        <x:v>Да</x:v>
      </x:c>
    </x:row>
    <x:row r="64" ht="22" customHeight="1">
      <x:c r="A64" s="76" t="str">
        <x:v>ГЛАВПРОЕКТ ООО</x:v>
      </x:c>
      <x:c r="B64" s="76" t="str">
        <x:v>Хромов Александр Олегович</x:v>
      </x:c>
      <x:c r="C64" s="77" t="n">
        <x:v>20000</x:v>
      </x:c>
      <x:c r="D64" s="76" t="n">
        <x:v>151</x:v>
      </x:c>
      <x:c r="E64" s="76" t="str">
        <x:v>Да</x:v>
      </x:c>
    </x:row>
    <x:row r="65" ht="22" customHeight="1">
      <x:c r="A65" s="69" t="str">
        <x:v>ГЛАВПРОЕКТ ООО</x:v>
      </x:c>
      <x:c r="B65" s="69" t="str">
        <x:v>ЦЕЗАРЬ СИСТЕМС ООО</x:v>
      </x:c>
      <x:c r="C65" s="72" t="n">
        <x:v>135000</x:v>
      </x:c>
      <x:c r="D65" s="69" t="n">
        <x:v>153</x:v>
      </x:c>
      <x:c r="E65" s="69" t="str">
        <x:v>Да</x:v>
      </x:c>
    </x:row>
    <x:row r="66" ht="22" customHeight="1">
      <x:c r="A66" s="76" t="str">
        <x:v>ГЛАВПРОЕКТ ООО</x:v>
      </x:c>
      <x:c r="B66" s="76" t="str">
        <x:v>ЦЕНТАВР ООО</x:v>
      </x:c>
      <x:c r="C66" s="77" t="n">
        <x:v>2023.2</x:v>
      </x:c>
      <x:c r="D66" s="76" t="n">
        <x:v>155</x:v>
      </x:c>
      <x:c r="E66" s="76" t="str">
        <x:v>Да</x:v>
      </x:c>
    </x:row>
    <x:row r="67" ht="22" customHeight="1">
      <x:c r="A67" s="69" t="str">
        <x:v>ГЛАВПРОЕКТ ООО</x:v>
      </x:c>
      <x:c r="B67" s="69" t="str">
        <x:v>ЩЕДРИН ИВАН АЛЕКСАНДРОВИЧ ИП</x:v>
      </x:c>
      <x:c r="C67" s="72" t="n">
        <x:v>0.35</x:v>
      </x:c>
      <x:c r="D67" s="69" t="n">
        <x:v>157</x:v>
      </x:c>
      <x:c r="E67" s="69" t="str">
        <x:v>Да</x:v>
      </x:c>
    </x:row>
    <x:row r="68" ht="22" customHeight="1">
      <x:c r="A68" s="76" t="str">
        <x:v>ГЛАВПРОЕКТ ООО</x:v>
      </x:c>
      <x:c r="B68" s="76" t="str">
        <x:v>ЭКОВЕРМ ООО</x:v>
      </x:c>
      <x:c r="C68" s="77" t="n">
        <x:v>63532</x:v>
      </x:c>
      <x:c r="D68" s="76" t="n">
        <x:v>159</x:v>
      </x:c>
      <x:c r="E68" s="76" t="str">
        <x:v>Да</x:v>
      </x:c>
    </x:row>
    <x:row r="69" ht="22" customHeight="1">
      <x:c r="A69" s="69" t="str">
        <x:v>ГЛАВПРОЕКТ ООО</x:v>
      </x:c>
      <x:c r="B69" s="69" t="str">
        <x:v>ЭКОДАР-ИМП"</x:v>
      </x:c>
      <x:c r="C69" s="72" t="n">
        <x:v>4095</x:v>
      </x:c>
      <x:c r="D69" s="69" t="n">
        <x:v>161</x:v>
      </x:c>
      <x:c r="E69" s="69" t="str">
        <x:v>Да</x:v>
      </x:c>
    </x:row>
    <x:row r="70" ht="22" customHeight="1">
      <x:c r="A70" s="76" t="str">
        <x:v>ГЛАВПРОЕКТ ООО</x:v>
      </x:c>
      <x:c r="B70" s="76" t="str">
        <x:v>ЭЛКОМ-ЭЛЕКТРО ООО</x:v>
      </x:c>
      <x:c r="C70" s="77" t="n">
        <x:v>-12932491</x:v>
      </x:c>
      <x:c r="D70" s="76" t="n">
        <x:v>163</x:v>
      </x:c>
      <x:c r="E70" s="76" t="str">
        <x:v>Да</x:v>
      </x:c>
    </x:row>
    <x:row r="71" ht="22" customHeight="1">
      <x:c r="A71" s="69" t="str">
        <x:v>ГЛАВПРОЕКТ ООО</x:v>
      </x:c>
      <x:c r="B71" s="69" t="str">
        <x:v>ЭЛТЕХПРОД ООО</x:v>
      </x:c>
      <x:c r="C71" s="72" t="n">
        <x:v>-372000</x:v>
      </x:c>
      <x:c r="D71" s="69" t="n">
        <x:v>167</x:v>
      </x:c>
      <x:c r="E71" s="69" t="str">
        <x:v>Да</x:v>
      </x:c>
    </x:row>
    <x:row r="72" ht="22" customHeight="1">
      <x:c r="A72" s="76" t="str">
        <x:v>ГЛАВПРОЕКТ ООО</x:v>
      </x:c>
      <x:c r="B72" s="76" t="str">
        <x:v>ЭСТЕТИКА ООО</x:v>
      </x:c>
      <x:c r="C72" s="77" t="n">
        <x:v>-78000</x:v>
      </x:c>
      <x:c r="D72" s="76" t="n">
        <x:v>169</x:v>
      </x:c>
      <x:c r="E72" s="76" t="str">
        <x:v>Да</x:v>
      </x:c>
    </x:row>
    <x:row r="73" ht="22" customHeight="1">
      <x:c r="A73" s="69" t="str">
        <x:v>ГЛАВПРОЕКТ ООО</x:v>
      </x:c>
      <x:c r="B73" s="69" t="str">
        <x:v>ЮТА-АГ ООО</x:v>
      </x:c>
      <x:c r="C73" s="72" t="n">
        <x:v>10350</x:v>
      </x:c>
      <x:c r="D73" s="69" t="n">
        <x:v>171</x:v>
      </x:c>
      <x:c r="E73" s="69" t="str">
        <x:v>Да</x:v>
      </x:c>
    </x:row>
    <x:row r="74" ht="22" customHeight="1">
      <x:c r="A74" s="76" t="str">
        <x:v>МК-ИНЖИНИРИНГ ООО</x:v>
      </x:c>
      <x:c r="B74" s="76" t="str">
        <x:v>АЛБИМАКС МЕТАЛЛ ООО</x:v>
      </x:c>
      <x:c r="C74" s="77" t="n">
        <x:v>41458805.83</x:v>
      </x:c>
      <x:c r="D74" s="76" t="n">
        <x:v>175</x:v>
      </x:c>
      <x:c r="E74" s="76" t="str">
        <x:v>Да</x:v>
      </x:c>
    </x:row>
    <x:row r="75" ht="22" customHeight="1">
      <x:c r="A75" s="69" t="str">
        <x:v>МК-ИНЖИНИРИНГ ООО</x:v>
      </x:c>
      <x:c r="B75" s="69" t="str">
        <x:v>АЛЬФА-БАНК АО</x:v>
      </x:c>
      <x:c r="C75" s="72" t="n">
        <x:v>240</x:v>
      </x:c>
      <x:c r="D75" s="69" t="n">
        <x:v>177</x:v>
      </x:c>
      <x:c r="E75" s="69" t="str">
        <x:v>Да</x:v>
      </x:c>
    </x:row>
    <x:row r="76" ht="22" customHeight="1">
      <x:c r="A76" s="76" t="str">
        <x:v>МК-ИНЖИНИРИНГ ООО</x:v>
      </x:c>
      <x:c r="B76" s="76" t="str">
        <x:v>Воронцов Сергей Александрович</x:v>
      </x:c>
      <x:c r="C76" s="77" t="n">
        <x:v>47580</x:v>
      </x:c>
      <x:c r="D76" s="76" t="n">
        <x:v>179</x:v>
      </x:c>
      <x:c r="E76" s="76" t="str">
        <x:v>Да</x:v>
      </x:c>
    </x:row>
    <x:row r="77" ht="22" customHeight="1">
      <x:c r="A77" s="69" t="str">
        <x:v>МК-ИНЖИНИРИНГ ООО</x:v>
      </x:c>
      <x:c r="B77" s="69" t="str">
        <x:v>ВсеИнструменты.ру ООО</x:v>
      </x:c>
      <x:c r="C77" s="72" t="n">
        <x:v>104390</x:v>
      </x:c>
      <x:c r="D77" s="69" t="n">
        <x:v>181</x:v>
      </x:c>
      <x:c r="E77" s="69" t="str">
        <x:v>Да</x:v>
      </x:c>
    </x:row>
    <x:row r="78" ht="22" customHeight="1">
      <x:c r="A78" s="76" t="str">
        <x:v>МК-ИНЖИНИРИНГ ООО</x:v>
      </x:c>
      <x:c r="B78" s="76" t="str">
        <x:v>ВЫМПЕЛКОМ ПАО</x:v>
      </x:c>
      <x:c r="C78" s="77" t="n">
        <x:v>1749.05</x:v>
      </x:c>
      <x:c r="D78" s="76" t="n">
        <x:v>184</x:v>
      </x:c>
      <x:c r="E78" s="76" t="str">
        <x:v>Да</x:v>
      </x:c>
    </x:row>
    <x:row r="79" ht="22" customHeight="1">
      <x:c r="A79" s="69" t="str">
        <x:v>МК-ИНЖИНИРИНГ ООО</x:v>
      </x:c>
      <x:c r="B79" s="69" t="str">
        <x:v>ГАЛАКТИКА ООО</x:v>
      </x:c>
      <x:c r="C79" s="72" t="n">
        <x:v>91650</x:v>
      </x:c>
      <x:c r="D79" s="69" t="n">
        <x:v>186</x:v>
      </x:c>
      <x:c r="E79" s="69" t="str">
        <x:v>Да</x:v>
      </x:c>
    </x:row>
    <x:row r="80" ht="22" customHeight="1">
      <x:c r="A80" s="76" t="str">
        <x:v>МК-ИНЖИНИРИНГ ООО</x:v>
      </x:c>
      <x:c r="B80" s="76" t="str">
        <x:v>ГК ИМПЕРИЯ ИНСТРУМЕНТА ООО</x:v>
      </x:c>
      <x:c r="C80" s="77" t="n">
        <x:v>297580</x:v>
      </x:c>
      <x:c r="D80" s="76" t="n">
        <x:v>188</x:v>
      </x:c>
      <x:c r="E80" s="76" t="str">
        <x:v>Да</x:v>
      </x:c>
    </x:row>
    <x:row r="81" ht="22" customHeight="1">
      <x:c r="A81" s="69" t="str">
        <x:v>МК-ИНЖИНИРИНГ ООО</x:v>
      </x:c>
      <x:c r="B81" s="69" t="str">
        <x:v>ГЛАВПРОЕКТ ООО</x:v>
      </x:c>
      <x:c r="C81" s="72" t="n">
        <x:v>16071045.98</x:v>
      </x:c>
      <x:c r="D81" s="69" t="n">
        <x:v>190</x:v>
      </x:c>
      <x:c r="E81" s="69" t="str">
        <x:v>Да</x:v>
      </x:c>
    </x:row>
    <x:row r="82" ht="22" customHeight="1">
      <x:c r="A82" s="76" t="str">
        <x:v>МК-ИНЖИНИРИНГ ООО</x:v>
      </x:c>
      <x:c r="B82" s="76" t="str">
        <x:v>ДЕЛОВЫЕ ЛИНИИ ООО</x:v>
      </x:c>
      <x:c r="C82" s="77" t="n">
        <x:v>7391</x:v>
      </x:c>
      <x:c r="D82" s="76" t="n">
        <x:v>195</x:v>
      </x:c>
      <x:c r="E82" s="76" t="str">
        <x:v>Да</x:v>
      </x:c>
    </x:row>
    <x:row r="83" ht="22" customHeight="1">
      <x:c r="A83" s="69" t="str">
        <x:v>МК-ИНЖИНИРИНГ ООО</x:v>
      </x:c>
      <x:c r="B83" s="69" t="str">
        <x:v>МАСТЕР МЕТАЛЛ АО</x:v>
      </x:c>
      <x:c r="C83" s="72" t="n">
        <x:v>3165</x:v>
      </x:c>
      <x:c r="D83" s="69" t="n">
        <x:v>197</x:v>
      </x:c>
      <x:c r="E83" s="69" t="str">
        <x:v>Да</x:v>
      </x:c>
    </x:row>
    <x:row r="84" ht="22" customHeight="1">
      <x:c r="A84" s="76" t="str">
        <x:v>МК-ИНЖИНИРИНГ ООО</x:v>
      </x:c>
      <x:c r="B84" s="76" t="str">
        <x:v>НИЖЕГОРОДЭЛЕКТРОЗАЩИТА ООО</x:v>
      </x:c>
      <x:c r="C84" s="77" t="n">
        <x:v>373.32</x:v>
      </x:c>
      <x:c r="D84" s="76" t="n">
        <x:v>199</x:v>
      </x:c>
      <x:c r="E84" s="76" t="str">
        <x:v>Да</x:v>
      </x:c>
    </x:row>
    <x:row r="85" ht="22" customHeight="1">
      <x:c r="A85" s="69" t="str">
        <x:v>МК-ИНЖИНИРИНГ ООО</x:v>
      </x:c>
      <x:c r="B85" s="69" t="str">
        <x:v>ОБНИНСКИЙ ЦЕНТР ПОРОШКОВОГО НАПЫЛЕНИЯ ООО</x:v>
      </x:c>
      <x:c r="C85" s="72"/>
      <x:c r="D85" s="69" t="n">
        <x:v>201</x:v>
      </x:c>
      <x:c r="E85" s="69" t="str">
        <x:v>Нет</x:v>
      </x:c>
    </x:row>
    <x:row r="86" ht="22" customHeight="1">
      <x:c r="A86" s="76" t="str">
        <x:v>МК-ИНЖИНИРИНГ ООО</x:v>
      </x:c>
      <x:c r="B86" s="76" t="str">
        <x:v>Панова Жанна Сергеевна</x:v>
      </x:c>
      <x:c r="C86" s="77" t="n">
        <x:v>8750</x:v>
      </x:c>
      <x:c r="D86" s="76" t="n">
        <x:v>203</x:v>
      </x:c>
      <x:c r="E86" s="76" t="str">
        <x:v>Да</x:v>
      </x:c>
    </x:row>
    <x:row r="87" ht="22" customHeight="1">
      <x:c r="A87" s="69" t="str">
        <x:v>МК-ИНЖИНИРИНГ ООО</x:v>
      </x:c>
      <x:c r="B87" s="69" t="str">
        <x:v>ПРИМА-ЦЕНТР</x:v>
      </x:c>
      <x:c r="C87" s="72" t="n">
        <x:v>376438.32</x:v>
      </x:c>
      <x:c r="D87" s="69" t="n">
        <x:v>205</x:v>
      </x:c>
      <x:c r="E87" s="69" t="str">
        <x:v>Да</x:v>
      </x:c>
    </x:row>
    <x:row r="88" ht="22" customHeight="1">
      <x:c r="A88" s="76" t="str">
        <x:v>МК-ИНЖИНИРИНГ ООО</x:v>
      </x:c>
      <x:c r="B88" s="76" t="str">
        <x:v>РЕСО гарантия</x:v>
      </x:c>
      <x:c r="C88" s="77" t="n">
        <x:v>-37431.33</x:v>
      </x:c>
      <x:c r="D88" s="76" t="n">
        <x:v>207</x:v>
      </x:c>
      <x:c r="E88" s="76" t="str">
        <x:v>Да</x:v>
      </x:c>
    </x:row>
    <x:row r="89" ht="22" customHeight="1">
      <x:c r="A89" s="69" t="str">
        <x:v>МК-ИНЖИНИРИНГ ООО</x:v>
      </x:c>
      <x:c r="B89" s="69" t="str">
        <x:v>ТЕХНОПЛАСТ33 ООО</x:v>
      </x:c>
      <x:c r="C89" s="72" t="n">
        <x:v>-339307.32</x:v>
      </x:c>
      <x:c r="D89" s="69" t="n">
        <x:v>209</x:v>
      </x:c>
      <x:c r="E89" s="69" t="str">
        <x:v>Да</x:v>
      </x:c>
    </x:row>
    <x:row r="90" ht="22" customHeight="1">
      <x:c r="A90" s="76" t="str">
        <x:v>МК-ИНЖИНИРИНГ ООО</x:v>
      </x:c>
      <x:c r="B90" s="76" t="str">
        <x:v>ТРАНСПОРТНАЯ ЭКСПЕДИЦИЯ ООО</x:v>
      </x:c>
      <x:c r="C90" s="77" t="n">
        <x:v>8360594.06</x:v>
      </x:c>
      <x:c r="D90" s="76" t="n">
        <x:v>211</x:v>
      </x:c>
      <x:c r="E90" s="76" t="str">
        <x:v>Да</x:v>
      </x:c>
    </x:row>
    <x:row r="91" ht="22" customHeight="1">
      <x:c r="A91" s="69" t="str">
        <x:v>МК-ИНЖИНИРИНГ ООО</x:v>
      </x:c>
      <x:c r="B91" s="69" t="str">
        <x:v>ЦЕНТАВР ООО</x:v>
      </x:c>
      <x:c r="C91" s="72" t="n">
        <x:v>82859.05</x:v>
      </x:c>
      <x:c r="D91" s="69" t="n">
        <x:v>214</x:v>
      </x:c>
      <x:c r="E91" s="69" t="str">
        <x:v>Да</x:v>
      </x:c>
    </x:row>
    <x:row r="92" ht="22" customHeight="1">
      <x:c r="A92" s="76" t="str">
        <x:v>НПК ТЕХНОПРОГРЕСС ООО</x:v>
      </x:c>
      <x:c r="B92" s="76" t="str">
        <x:v>АЛБИМАКС МЕТАЛЛ ООО</x:v>
      </x:c>
      <x:c r="C92" s="77" t="n">
        <x:v>102448991.37</x:v>
      </x:c>
      <x:c r="D92" s="76" t="n">
        <x:v>218</x:v>
      </x:c>
      <x:c r="E92" s="76" t="str">
        <x:v>Да</x:v>
      </x:c>
    </x:row>
    <x:row r="93" ht="22" customHeight="1">
      <x:c r="A93" s="69" t="str">
        <x:v>НПК ТЕХНОПРОГРЕСС ООО</x:v>
      </x:c>
      <x:c r="B93" s="69" t="str">
        <x:v>ВР - ЛОГИСТИК ООО</x:v>
      </x:c>
      <x:c r="C93" s="72" t="n">
        <x:v>267281.2</x:v>
      </x:c>
      <x:c r="D93" s="69" t="n">
        <x:v>221</x:v>
      </x:c>
      <x:c r="E93" s="69" t="str">
        <x:v>Да</x:v>
      </x:c>
    </x:row>
    <x:row r="94" ht="22" customHeight="1">
      <x:c r="A94" s="76" t="str">
        <x:v>НПК ТЕХНОПРОГРЕСС ООО</x:v>
      </x:c>
      <x:c r="B94" s="76" t="str">
        <x:v>ГЛАВПРОЕКТ ООО</x:v>
      </x:c>
      <x:c r="C94" s="77" t="n">
        <x:v>-16090850.07</x:v>
      </x:c>
      <x:c r="D94" s="76" t="n">
        <x:v>224</x:v>
      </x:c>
      <x:c r="E94" s="76" t="str">
        <x:v>Да</x:v>
      </x:c>
    </x:row>
    <x:row r="95" ht="22" customHeight="1">
      <x:c r="A95" s="69" t="str">
        <x:v>НПК ТЕХНОПРОГРЕСС ООО</x:v>
      </x:c>
      <x:c r="B95" s="69" t="str">
        <x:v>ГСБ ООО</x:v>
      </x:c>
      <x:c r="C95" s="72" t="n">
        <x:v>18460.05</x:v>
      </x:c>
      <x:c r="D95" s="69" t="n">
        <x:v>227</x:v>
      </x:c>
      <x:c r="E95" s="69" t="str">
        <x:v>Да</x:v>
      </x:c>
    </x:row>
    <x:row r="96" ht="22" customHeight="1">
      <x:c r="A96" s="76" t="str">
        <x:v>НПК ТЕХНОПРОГРЕСС ООО</x:v>
      </x:c>
      <x:c r="B96" s="76" t="str">
        <x:v>ДЕЛОВЫЕ ЛИНИИ ООО</x:v>
      </x:c>
      <x:c r="C96" s="77" t="n">
        <x:v>3359</x:v>
      </x:c>
      <x:c r="D96" s="76" t="n">
        <x:v>229</x:v>
      </x:c>
      <x:c r="E96" s="76" t="str">
        <x:v>Да</x:v>
      </x:c>
    </x:row>
    <x:row r="97" ht="22" customHeight="1">
      <x:c r="A97" s="69" t="str">
        <x:v>НПК ТЕХНОПРОГРЕСС ООО</x:v>
      </x:c>
      <x:c r="B97" s="69" t="str">
        <x:v>МАСТЕР МЕТАЛЛ АО</x:v>
      </x:c>
      <x:c r="C97" s="72" t="n">
        <x:v>7992.5</x:v>
      </x:c>
      <x:c r="D97" s="69" t="n">
        <x:v>231</x:v>
      </x:c>
      <x:c r="E97" s="69" t="str">
        <x:v>Да</x:v>
      </x:c>
    </x:row>
    <x:row r="98" ht="22" customHeight="1">
      <x:c r="A98" s="76" t="str">
        <x:v>НПК ТЕХНОПРОГРЕСС ООО</x:v>
      </x:c>
      <x:c r="B98" s="76" t="str">
        <x:v>МТХ ООО</x:v>
      </x:c>
      <x:c r="C98" s="77" t="n">
        <x:v>-1580620.24</x:v>
      </x:c>
      <x:c r="D98" s="76" t="n">
        <x:v>233</x:v>
      </x:c>
      <x:c r="E98" s="76" t="str">
        <x:v>Да</x:v>
      </x:c>
    </x:row>
    <x:row r="99" ht="22" customHeight="1">
      <x:c r="A99" s="69" t="str">
        <x:v>НПК ТЕХНОПРОГРЕСС ООО</x:v>
      </x:c>
      <x:c r="B99" s="69" t="str">
        <x:v>НИЖЕГОРОДЭЛЕКТРОЗАЩИТА ООО</x:v>
      </x:c>
      <x:c r="C99" s="72" t="n">
        <x:v>21963.66</x:v>
      </x:c>
      <x:c r="D99" s="69" t="n">
        <x:v>235</x:v>
      </x:c>
      <x:c r="E99" s="69" t="str">
        <x:v>Да</x:v>
      </x:c>
    </x:row>
    <x:row r="100" ht="22" customHeight="1">
      <x:c r="A100" s="76" t="str">
        <x:v>НПК ТЕХНОПРОГРЕСС ООО</x:v>
      </x:c>
      <x:c r="B100" s="76" t="str">
        <x:v>РСИЦ АО</x:v>
      </x:c>
      <x:c r="C100" s="77" t="n">
        <x:v>1127</x:v>
      </x:c>
      <x:c r="D100" s="76" t="n">
        <x:v>237</x:v>
      </x:c>
      <x:c r="E100" s="76" t="str">
        <x:v>Да</x:v>
      </x:c>
    </x:row>
    <x:row r="101" ht="22" customHeight="1">
      <x:c r="A101" s="69" t="str">
        <x:v>НПК ТЕХНОПРОГРЕСС ООО</x:v>
      </x:c>
      <x:c r="B101" s="69" t="str">
        <x:v>ТЕХНОПЛАСТ33 ООО</x:v>
      </x:c>
      <x:c r="C101" s="72" t="n">
        <x:v>-129093.04</x:v>
      </x:c>
      <x:c r="D101" s="69" t="n">
        <x:v>239</x:v>
      </x:c>
      <x:c r="E101" s="69" t="str">
        <x:v>Да</x:v>
      </x:c>
    </x:row>
    <x:row r="102" ht="22" customHeight="1">
      <x:c r="A102" s="76" t="str">
        <x:v>НПК ТЕХНОПРОГРЕСС ООО</x:v>
      </x:c>
      <x:c r="B102" s="76" t="str">
        <x:v>ТРАНСПОРТНАЯ ЭКСПЕДИЦИЯ ООО</x:v>
      </x:c>
      <x:c r="C102" s="77" t="n">
        <x:v>-40850503.67</x:v>
      </x:c>
      <x:c r="D102" s="76" t="n">
        <x:v>241</x:v>
      </x:c>
      <x:c r="E102" s="76" t="str">
        <x:v>Да</x:v>
      </x:c>
    </x:row>
    <x:row r="103" ht="22" customHeight="1">
      <x:c r="A103" s="69" t="str">
        <x:v>НПК ТЕХНОПРОГРЕСС ООО</x:v>
      </x:c>
      <x:c r="B103" s="69" t="str">
        <x:v>ЦЕНТАВР ООО</x:v>
      </x:c>
      <x:c r="C103" s="72" t="n">
        <x:v>127.75</x:v>
      </x:c>
      <x:c r="D103" s="69" t="n">
        <x:v>244</x:v>
      </x:c>
      <x:c r="E103" s="69" t="str">
        <x:v>Да</x:v>
      </x:c>
    </x:row>
    <x:row r="104" ht="22" customHeight="1">
      <x:c r="A104" s="76" t="str">
        <x:v>ТОКОПРОВОД.РУ ООО</x:v>
      </x:c>
      <x:c r="B104" s="76" t="str">
        <x:v>АЛБИМАКС МЕТАЛЛ ООО</x:v>
      </x:c>
      <x:c r="C104" s="77" t="n">
        <x:v>-5992875.93</x:v>
      </x:c>
      <x:c r="D104" s="76" t="n">
        <x:v>248</x:v>
      </x:c>
      <x:c r="E104" s="76" t="str">
        <x:v>Да</x:v>
      </x:c>
    </x:row>
    <x:row r="105" ht="22" customHeight="1">
      <x:c r="A105" s="69" t="str">
        <x:v>ТОКОПРОВОД.РУ ООО</x:v>
      </x:c>
      <x:c r="B105" s="69" t="str">
        <x:v>АЛЬФА-БАНК АО</x:v>
      </x:c>
      <x:c r="C105" s="72" t="n">
        <x:v>702</x:v>
      </x:c>
      <x:c r="D105" s="69" t="n">
        <x:v>252</x:v>
      </x:c>
      <x:c r="E105" s="69" t="str">
        <x:v>Да</x:v>
      </x:c>
    </x:row>
    <x:row r="106" ht="22" customHeight="1">
      <x:c r="A106" s="76" t="str">
        <x:v>ТОКОПРОВОД.РУ ООО</x:v>
      </x:c>
      <x:c r="B106" s="76" t="str">
        <x:v>ВОЛЕКС ООО</x:v>
      </x:c>
      <x:c r="C106" s="77" t="n">
        <x:v>40000</x:v>
      </x:c>
      <x:c r="D106" s="76" t="n">
        <x:v>254</x:v>
      </x:c>
      <x:c r="E106" s="76" t="str">
        <x:v>Да</x:v>
      </x:c>
    </x:row>
    <x:row r="107" ht="22" customHeight="1">
      <x:c r="A107" s="69" t="str">
        <x:v>ТОКОПРОВОД.РУ ООО</x:v>
      </x:c>
      <x:c r="B107" s="69" t="str">
        <x:v>Воронцов Сергей Александрович</x:v>
      </x:c>
      <x:c r="C107" s="72" t="n">
        <x:v>86580</x:v>
      </x:c>
      <x:c r="D107" s="69" t="n">
        <x:v>256</x:v>
      </x:c>
      <x:c r="E107" s="69" t="str">
        <x:v>Да</x:v>
      </x:c>
    </x:row>
    <x:row r="108" ht="22" customHeight="1">
      <x:c r="A108" s="76" t="str">
        <x:v>ТОКОПРОВОД.РУ ООО</x:v>
      </x:c>
      <x:c r="B108" s="76" t="str">
        <x:v>ВР - ЛОГИСТИК ООО</x:v>
      </x:c>
      <x:c r="C108" s="77" t="n">
        <x:v>14579816.94</x:v>
      </x:c>
      <x:c r="D108" s="76" t="n">
        <x:v>258</x:v>
      </x:c>
      <x:c r="E108" s="76" t="str">
        <x:v>Да</x:v>
      </x:c>
    </x:row>
    <x:row r="109" ht="22" customHeight="1">
      <x:c r="A109" s="69" t="str">
        <x:v>ТОКОПРОВОД.РУ ООО</x:v>
      </x:c>
      <x:c r="B109" s="69" t="str">
        <x:v>ГАЛАКТИКА ООО</x:v>
      </x:c>
      <x:c r="C109" s="72" t="n">
        <x:v>1455</x:v>
      </x:c>
      <x:c r="D109" s="69" t="n">
        <x:v>261</x:v>
      </x:c>
      <x:c r="E109" s="69" t="str">
        <x:v>Да</x:v>
      </x:c>
    </x:row>
    <x:row r="110" ht="22" customHeight="1">
      <x:c r="A110" s="76" t="str">
        <x:v>ТОКОПРОВОД.РУ ООО</x:v>
      </x:c>
      <x:c r="B110" s="76" t="str">
        <x:v>ГЛАВПРОЕКТ ООО</x:v>
      </x:c>
      <x:c r="C110" s="77" t="n">
        <x:v>-75511450.2</x:v>
      </x:c>
      <x:c r="D110" s="76" t="n">
        <x:v>263</x:v>
      </x:c>
      <x:c r="E110" s="76" t="str">
        <x:v>Да</x:v>
      </x:c>
    </x:row>
    <x:row r="111" ht="22" customHeight="1">
      <x:c r="A111" s="69" t="str">
        <x:v>ТОКОПРОВОД.РУ ООО</x:v>
      </x:c>
      <x:c r="B111" s="69" t="str">
        <x:v>ДЕЛОВЫЕ ЛИНИИ ООО</x:v>
      </x:c>
      <x:c r="C111" s="72" t="n">
        <x:v>9975</x:v>
      </x:c>
      <x:c r="D111" s="69" t="n">
        <x:v>269</x:v>
      </x:c>
      <x:c r="E111" s="69" t="str">
        <x:v>Да</x:v>
      </x:c>
    </x:row>
    <x:row r="112" ht="22" customHeight="1">
      <x:c r="A112" s="76" t="str">
        <x:v>ТОКОПРОВОД.РУ ООО</x:v>
      </x:c>
      <x:c r="B112" s="76" t="str">
        <x:v>ДЖИФЛЕКС ООО</x:v>
      </x:c>
      <x:c r="C112" s="77" t="n">
        <x:v>57720</x:v>
      </x:c>
      <x:c r="D112" s="76" t="n">
        <x:v>271</x:v>
      </x:c>
      <x:c r="E112" s="76" t="str">
        <x:v>Да</x:v>
      </x:c>
    </x:row>
    <x:row r="113" ht="22" customHeight="1">
      <x:c r="A113" s="69" t="str">
        <x:v>ТОКОПРОВОД.РУ ООО</x:v>
      </x:c>
      <x:c r="B113" s="69" t="str">
        <x:v>Липский Николай Александрович</x:v>
      </x:c>
      <x:c r="C113" s="72" t="n">
        <x:v>61720</x:v>
      </x:c>
      <x:c r="D113" s="69" t="n">
        <x:v>273</x:v>
      </x:c>
      <x:c r="E113" s="69" t="str">
        <x:v>Да</x:v>
      </x:c>
    </x:row>
    <x:row r="114" ht="22" customHeight="1">
      <x:c r="A114" s="76" t="str">
        <x:v>ТОКОПРОВОД.РУ ООО</x:v>
      </x:c>
      <x:c r="B114" s="76" t="str">
        <x:v>МАСТЕР МЕТАЛЛ АО</x:v>
      </x:c>
      <x:c r="C114" s="77" t="n">
        <x:v>9177.5</x:v>
      </x:c>
      <x:c r="D114" s="76" t="n">
        <x:v>275</x:v>
      </x:c>
      <x:c r="E114" s="76" t="str">
        <x:v>Да</x:v>
      </x:c>
    </x:row>
    <x:row r="115" ht="22" customHeight="1">
      <x:c r="A115" s="69" t="str">
        <x:v>ТОКОПРОВОД.РУ ООО</x:v>
      </x:c>
      <x:c r="B115" s="69" t="str">
        <x:v>НИЖЕГОРОДЭЛЕКТРОЗАЩИТА ООО</x:v>
      </x:c>
      <x:c r="C115" s="72" t="n">
        <x:v>1493.04</x:v>
      </x:c>
      <x:c r="D115" s="69" t="n">
        <x:v>277</x:v>
      </x:c>
      <x:c r="E115" s="69" t="str">
        <x:v>Да</x:v>
      </x:c>
    </x:row>
    <x:row r="116" ht="22" customHeight="1">
      <x:c r="A116" s="76" t="str">
        <x:v>ТОКОПРОВОД.РУ ООО</x:v>
      </x:c>
      <x:c r="B116" s="76" t="str">
        <x:v>ПРАЙВТ ЭККАУНТИНГ ООО</x:v>
      </x:c>
      <x:c r="C116" s="77" t="n">
        <x:v>-9890</x:v>
      </x:c>
      <x:c r="D116" s="76" t="n">
        <x:v>279</x:v>
      </x:c>
      <x:c r="E116" s="76" t="str">
        <x:v>Да</x:v>
      </x:c>
    </x:row>
    <x:row r="117" ht="22" customHeight="1">
      <x:c r="A117" s="69" t="str">
        <x:v>ТОКОПРОВОД.РУ ООО</x:v>
      </x:c>
      <x:c r="B117" s="69" t="str">
        <x:v>ПРОМТЕХНИКА ООО</x:v>
      </x:c>
      <x:c r="C117" s="72" t="n">
        <x:v>98800</x:v>
      </x:c>
      <x:c r="D117" s="69" t="n">
        <x:v>281</x:v>
      </x:c>
      <x:c r="E117" s="69" t="str">
        <x:v>Да</x:v>
      </x:c>
    </x:row>
    <x:row r="118" ht="22" customHeight="1">
      <x:c r="A118" s="76" t="str">
        <x:v>ТОКОПРОВОД.РУ ООО</x:v>
      </x:c>
      <x:c r="B118" s="76" t="str">
        <x:v>ПромЦветМет</x:v>
      </x:c>
      <x:c r="C118" s="77"/>
      <x:c r="D118" s="76" t="n">
        <x:v>283</x:v>
      </x:c>
      <x:c r="E118" s="76" t="str">
        <x:v>Нет</x:v>
      </x:c>
    </x:row>
    <x:row r="119" ht="22" customHeight="1">
      <x:c r="A119" s="69" t="str">
        <x:v>ТОКОПРОВОД.РУ ООО</x:v>
      </x:c>
      <x:c r="B119" s="69" t="str">
        <x:v>ТЕХНОПЛАСТ33 ООО</x:v>
      </x:c>
      <x:c r="C119" s="72" t="n">
        <x:v>205011.22</x:v>
      </x:c>
      <x:c r="D119" s="69" t="n">
        <x:v>285</x:v>
      </x:c>
      <x:c r="E119" s="69" t="str">
        <x:v>Да</x:v>
      </x:c>
    </x:row>
    <x:row r="120" ht="22" customHeight="1">
      <x:c r="A120" s="76" t="str">
        <x:v>ТОКОПРОВОД.РУ ООО</x:v>
      </x:c>
      <x:c r="B120" s="76" t="str">
        <x:v>ТЕХЦЕНТР ГРАНД ООО</x:v>
      </x:c>
      <x:c r="C120" s="77" t="n">
        <x:v>11000</x:v>
      </x:c>
      <x:c r="D120" s="76" t="n">
        <x:v>287</x:v>
      </x:c>
      <x:c r="E120" s="76" t="str">
        <x:v>Да</x:v>
      </x:c>
    </x:row>
    <x:row r="121" ht="22" customHeight="1">
      <x:c r="A121" s="69" t="str">
        <x:v>ТОКОПРОВОД.РУ ООО</x:v>
      </x:c>
      <x:c r="B121" s="69" t="str">
        <x:v>ТРАНСПОРТНАЯ ЭКСПЕДИЦИЯ ООО</x:v>
      </x:c>
      <x:c r="C121" s="72" t="n">
        <x:v>8880000</x:v>
      </x:c>
      <x:c r="D121" s="69" t="n">
        <x:v>289</x:v>
      </x:c>
      <x:c r="E121" s="69" t="str">
        <x:v>Да</x:v>
      </x:c>
    </x:row>
    <x:row r="122" ht="22" customHeight="1">
      <x:c r="A122" s="76" t="str">
        <x:v>ТОКОПРОВОД.РУ ООО</x:v>
      </x:c>
      <x:c r="B122" s="76" t="str">
        <x:v>ЦЕНТАВР ООО</x:v>
      </x:c>
      <x:c r="C122" s="77" t="n">
        <x:v>-55870</x:v>
      </x:c>
      <x:c r="D122" s="76" t="n">
        <x:v>292</x:v>
      </x:c>
      <x:c r="E122" s="76" t="str">
        <x:v>Да</x:v>
      </x:c>
    </x:row>
    <x:row r="123" ht="22" customHeight="1">
      <x:c r="A123" s="69" t="str">
        <x:v>ТРАНСПОРТНАЯ ЭКСПЕДИЦИЯ</x:v>
      </x:c>
      <x:c r="B123" s="69" t="str">
        <x:v>АЛБИМАКС МЕТАЛЛ ООО</x:v>
      </x:c>
      <x:c r="C123" s="72" t="n">
        <x:v>-20668066.49</x:v>
      </x:c>
      <x:c r="D123" s="69" t="n">
        <x:v>296</x:v>
      </x:c>
      <x:c r="E123" s="69" t="str">
        <x:v>Да</x:v>
      </x:c>
    </x:row>
    <x:row r="124" ht="22" customHeight="1">
      <x:c r="A124" s="76" t="str">
        <x:v>ТРАНСПОРТНАЯ ЭКСПЕДИЦИЯ</x:v>
      </x:c>
      <x:c r="B124" s="76" t="str">
        <x:v>ВР - ЛОГИСТИК ООО</x:v>
      </x:c>
      <x:c r="C124" s="77" t="n">
        <x:v>-34899443.77</x:v>
      </x:c>
      <x:c r="D124" s="76" t="n">
        <x:v>301</x:v>
      </x:c>
      <x:c r="E124" s="76" t="str">
        <x:v>Да</x:v>
      </x:c>
    </x:row>
    <x:row r="125" ht="22" customHeight="1">
      <x:c r="A125" s="69" t="str">
        <x:v>ТРАНСПОРТНАЯ ЭКСПЕДИЦИЯ</x:v>
      </x:c>
      <x:c r="B125" s="69" t="str">
        <x:v>ГАЗПРОМ МЕЖРЕГИОНГАЗ ВЛАДИМИР ООО</x:v>
      </x:c>
      <x:c r="C125" s="72" t="n">
        <x:v>23643.46</x:v>
      </x:c>
      <x:c r="D125" s="69" t="n">
        <x:v>304</x:v>
      </x:c>
      <x:c r="E125" s="69" t="str">
        <x:v>Да</x:v>
      </x:c>
    </x:row>
    <x:row r="126" ht="22" customHeight="1">
      <x:c r="A126" s="76" t="str">
        <x:v>ТРАНСПОРТНАЯ ЭКСПЕДИЦИЯ</x:v>
      </x:c>
      <x:c r="B126" s="76" t="str">
        <x:v>ГЛАВПРОЕКТ ООО</x:v>
      </x:c>
      <x:c r="C126" s="77" t="n">
        <x:v>-16358395.32</x:v>
      </x:c>
      <x:c r="D126" s="76" t="n">
        <x:v>306</x:v>
      </x:c>
      <x:c r="E126" s="76" t="str">
        <x:v>Да</x:v>
      </x:c>
    </x:row>
    <x:row r="127" ht="22" customHeight="1">
      <x:c r="A127" s="69" t="str">
        <x:v>ТРАНСПОРТНАЯ ЭКСПЕДИЦИЯ</x:v>
      </x:c>
      <x:c r="B127" s="69" t="str">
        <x:v>ДЕЛОВЫЕ ЛИНИИ ООО</x:v>
      </x:c>
      <x:c r="C127" s="72" t="n">
        <x:v>21157</x:v>
      </x:c>
      <x:c r="D127" s="69" t="n">
        <x:v>311</x:v>
      </x:c>
      <x:c r="E127" s="69" t="str">
        <x:v>Да</x:v>
      </x:c>
    </x:row>
    <x:row r="128" ht="22" customHeight="1">
      <x:c r="A128" s="76" t="str">
        <x:v>ТРАНСПОРТНАЯ ЭКСПЕДИЦИЯ</x:v>
      </x:c>
      <x:c r="B128" s="76" t="str">
        <x:v>Корн</x:v>
      </x:c>
      <x:c r="C128" s="77" t="n">
        <x:v>-77285.01</x:v>
      </x:c>
      <x:c r="D128" s="76" t="n">
        <x:v>313</x:v>
      </x:c>
      <x:c r="E128" s="76" t="str">
        <x:v>Да</x:v>
      </x:c>
    </x:row>
    <x:row r="129" ht="22" customHeight="1">
      <x:c r="A129" s="69" t="str">
        <x:v>ТРАНСПОРТНАЯ ЭКСПЕДИЦИЯ</x:v>
      </x:c>
      <x:c r="B129" s="69" t="str">
        <x:v>МедиаСофт эксперт ООО</x:v>
      </x:c>
      <x:c r="C129" s="72" t="n">
        <x:v>17995.78</x:v>
      </x:c>
      <x:c r="D129" s="69" t="n">
        <x:v>315</x:v>
      </x:c>
      <x:c r="E129" s="69" t="str">
        <x:v>Да</x:v>
      </x:c>
    </x:row>
    <x:row r="130" ht="22" customHeight="1">
      <x:c r="A130" s="76" t="str">
        <x:v>ТРАНСПОРТНАЯ ЭКСПЕДИЦИЯ</x:v>
      </x:c>
      <x:c r="B130" s="76" t="str">
        <x:v>НТЦМ</x:v>
      </x:c>
      <x:c r="C130" s="77" t="n">
        <x:v>4900</x:v>
      </x:c>
      <x:c r="D130" s="76" t="n">
        <x:v>317</x:v>
      </x:c>
      <x:c r="E130" s="76" t="str">
        <x:v>Да</x:v>
      </x:c>
    </x:row>
    <x:row r="131" ht="22" customHeight="1">
      <x:c r="A131" s="69" t="str">
        <x:v>ТРАНСПОРТНАЯ ЭКСПЕДИЦИЯ</x:v>
      </x:c>
      <x:c r="B131" s="69" t="str">
        <x:v>РСИЦ АО</x:v>
      </x:c>
      <x:c r="C131" s="72" t="n">
        <x:v>12197.13</x:v>
      </x:c>
      <x:c r="D131" s="69" t="n">
        <x:v>319</x:v>
      </x:c>
      <x:c r="E131" s="69" t="str">
        <x:v>Да</x:v>
      </x:c>
    </x:row>
    <x:row r="132" ht="22" customHeight="1">
      <x:c r="A132" s="76" t="str">
        <x:v>ТРАНСПОРТНАЯ ЭКСПЕДИЦИЯ</x:v>
      </x:c>
      <x:c r="B132" s="76" t="str">
        <x:v>ТЕХНОПЛАСТ33 ООО</x:v>
      </x:c>
      <x:c r="C132" s="77" t="n">
        <x:v>1</x:v>
      </x:c>
      <x:c r="D132" s="76" t="n">
        <x:v>321</x:v>
      </x:c>
      <x:c r="E132" s="76" t="str">
        <x:v>Да</x:v>
      </x:c>
    </x:row>
    <x:row r="133" ht="22" customHeight="1">
      <x:c r="A133" s="70" t="str">
        <x:v>ТРАНСПОРТНАЯ ЭКСПЕДИЦИЯ</x:v>
      </x:c>
      <x:c r="B133" s="70" t="str">
        <x:v>ЭЛЕКТРОКОМПЛЕКТ ООО</x:v>
      </x:c>
      <x:c r="C133" s="73" t="n">
        <x:v>34</x:v>
      </x:c>
      <x:c r="D133" s="70" t="n">
        <x:v>323</x:v>
      </x:c>
      <x:c r="E133" s="70" t="str">
        <x:v>Да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52" hidden="0" customWidth="1"/>
    <x:col min="7" max="7" width="55" hidden="0" customWidth="1"/>
  </x:cols>
  <x:sheetData>
    <x:row r="1">
      <x:c r="A1" s="4" t="str">
        <x:v>КОНТРОЛЬ И НЕОДНОЗНАЧНОСТИ</x:v>
      </x:c>
      <x:c r="B1" s="4"/>
      <x:c r="C1" s="4"/>
      <x:c r="D1" s="4"/>
      <x:c r="E1" s="4"/>
      <x:c r="F1" s="4"/>
      <x:c r="G1" s="4"/>
    </x:row>
    <x:row r="3">
      <x:c r="A3" s="15" t="str">
        <x:v>Проверка</x:v>
      </x:c>
      <x:c r="B3" s="15" t="str">
        <x:v>Факт</x:v>
      </x:c>
      <x:c r="C3" s="15" t="str">
        <x:v>Ожидание</x:v>
      </x:c>
      <x:c r="D3" s="15" t="str">
        <x:v>Отклонение</x:v>
      </x:c>
      <x:c r="E3" s="15" t="str">
        <x:v>Статус</x:v>
      </x:c>
      <x:c r="F3" s="15" t="str">
        <x:v>Комментарий</x:v>
      </x:c>
    </x:row>
    <x:row r="4" ht="38" customHeight="1">
      <x:c r="A4" s="54" t="str">
        <x:v>Количество строк плана</x:v>
      </x:c>
      <x:c r="B4" s="90" t="n">
        <x:f>'ПЛАН ОПЛАТ'!E2</x:f>
        <x:v>120</x:v>
      </x:c>
      <x:c r="C4" s="90" t="n">
        <x:v>120</x:v>
      </x:c>
      <x:c r="D4" s="90" t="n">
        <x:f>B4-C4</x:f>
        <x:v>0</x:v>
      </x:c>
      <x:c r="E4" s="54" t="str">
        <x:f>IF(ABS(D4)&lt;0.01,"PASS","FAIL")</x:f>
        <x:v>PASS</x:v>
      </x:c>
      <x:c r="F4" s="54" t="str">
        <x:v>Строки шести разделов</x:v>
      </x:c>
    </x:row>
    <x:row r="5" ht="38" customHeight="1">
      <x:c r="A5" s="55" t="str">
        <x:v>Сумма счетов</x:v>
      </x:c>
      <x:c r="B5" s="58" t="n">
        <x:f>'ПЛАН ОПЛАТ'!B3</x:f>
        <x:v>135124684.904868</x:v>
      </x:c>
      <x:c r="C5" s="58" t="n">
        <x:v>135124684.904868</x:v>
      </x:c>
      <x:c r="D5" s="58" t="n">
        <x:f>B5-C5</x:f>
        <x:v>0</x:v>
      </x:c>
      <x:c r="E5" s="55" t="str">
        <x:f>IF(ABS(D5)&lt;0.01,"PASS","FAIL")</x:f>
        <x:v>PASS</x:v>
      </x:c>
      <x:c r="F5" s="55" t="str">
        <x:v>Кэшированный итог реестра: 131541815.904868</x:v>
      </x:c>
    </x:row>
    <x:row r="6" ht="38" customHeight="1">
      <x:c r="A6" s="55" t="str">
        <x:v>Сумма оплачено</x:v>
      </x:c>
      <x:c r="B6" s="58" t="n">
        <x:f>'ПЛАН ОПЛАТ'!E3</x:f>
        <x:v>17084886.45387</x:v>
      </x:c>
      <x:c r="C6" s="58" t="n">
        <x:v>17084886.45387</x:v>
      </x:c>
      <x:c r="D6" s="58" t="n">
        <x:f>B6-C6</x:f>
        <x:v>0</x:v>
      </x:c>
      <x:c r="E6" s="55" t="str">
        <x:f>IF(ABS(D6)&lt;0.01,"PASS","FAIL")</x:f>
        <x:v>PASS</x:v>
      </x:c>
      <x:c r="F6" s="55" t="str">
        <x:v>Кэшированный итог реестра: 16720963.953870002</x:v>
      </x:c>
    </x:row>
    <x:row r="7" ht="38" customHeight="1">
      <x:c r="A7" s="55" t="str">
        <x:v>Сумма к оплате</x:v>
      </x:c>
      <x:c r="B7" s="58" t="n">
        <x:f>'ПЛАН ОПЛАТ'!J6</x:f>
        <x:v>119769148.45099801</x:v>
      </x:c>
      <x:c r="C7" s="58" t="n">
        <x:v>119769148.450998</x:v>
      </x:c>
      <x:c r="D7" s="58" t="n">
        <x:f>B7-C7</x:f>
        <x:v>1.4901161193847656e-8</x:v>
      </x:c>
      <x:c r="E7" s="55" t="str">
        <x:f>IF(ABS(D7)&lt;0.01,"PASS","FAIL")</x:f>
        <x:v>PASS</x:v>
      </x:c>
      <x:c r="F7" s="55" t="str">
        <x:v>Кэшированный итог реестра: 116011551.95099801; итог ПЛАНА пересчитан по строкам</x:v>
      </x:c>
    </x:row>
    <x:row r="8" ht="38" customHeight="1">
      <x:c r="A8" s="55" t="str">
        <x:v>Заполнено конечное сальдо</x:v>
      </x:c>
      <x:c r="B8" s="91" t="n">
        <x:f>'ПЛАН ОПЛАТ'!H3</x:f>
        <x:v>13</x:v>
      </x:c>
      <x:c r="C8" s="91" t="n">
        <x:v>13</x:v>
      </x:c>
      <x:c r="D8" s="91" t="n">
        <x:f>B8-C8</x:f>
        <x:v>0</x:v>
      </x:c>
      <x:c r="E8" s="55" t="str">
        <x:f>IF(ABS(D8)&lt;0.01,"PASS","FAIL")</x:f>
        <x:v>PASS</x:v>
      </x:c>
      <x:c r="F8" s="55" t="str">
        <x:v>Одно числовое сальдо на первую строку пары</x:v>
      </x:c>
    </x:row>
    <x:row r="9" ht="38" customHeight="1">
      <x:c r="A9" s="56" t="str">
        <x:v>Пустое конечное сальдо</x:v>
      </x:c>
      <x:c r="B9" s="92" t="n">
        <x:f>'ПЛАН ОПЛАТ'!J3</x:f>
        <x:v>107</x:v>
      </x:c>
      <x:c r="C9" s="92" t="n">
        <x:v>107</x:v>
      </x:c>
      <x:c r="D9" s="92" t="n">
        <x:f>B9-C9</x:f>
        <x:v>0</x:v>
      </x:c>
      <x:c r="E9" s="56" t="str">
        <x:f>IF(ABS(D9)&lt;0.01,"PASS","FAIL")</x:f>
        <x:v>PASS</x:v>
      </x:c>
      <x:c r="F9" s="56" t="str">
        <x:v>Повторные и несопоставленные строки оставлены пустыми</x:v>
      </x:c>
    </x:row>
    <x:row r="11">
      <x:c r="A11" s="94" t="str">
        <x:v>ПРОВЕРКА ИТОГОВ ПО РАЗДЕЛАМ — 6 РАЗДЕЛОВ</x:v>
      </x:c>
      <x:c r="B11" s="94"/>
      <x:c r="C11" s="94"/>
      <x:c r="D11" s="94"/>
      <x:c r="E11" s="94"/>
      <x:c r="F11" s="94"/>
      <x:c r="G11" s="94"/>
    </x:row>
    <x:row r="12">
      <x:c r="A12" s="15" t="str">
        <x:v>Раздел</x:v>
      </x:c>
      <x:c r="B12" s="15" t="str">
        <x:v>Факт</x:v>
      </x:c>
      <x:c r="C12" s="15" t="str">
        <x:v>Сумма строк</x:v>
      </x:c>
      <x:c r="D12" s="15" t="str">
        <x:v>Отклонение</x:v>
      </x:c>
      <x:c r="E12" s="15" t="str">
        <x:v>Статус</x:v>
      </x:c>
      <x:c r="F12" s="15" t="str">
        <x:v>Сверка с реестром</x:v>
      </x:c>
    </x:row>
    <x:row r="13" ht="40" customHeight="1">
      <x:c r="A13" s="54" t="str">
        <x:v>ЗАДОЛЖЕННОСТЬ ПО ОТГРУЖЕННЫМ ТОВАРАМ</x:v>
      </x:c>
      <x:c r="B13" s="57" t="n">
        <x:f>'ПЛАН ОПЛАТ'!J7</x:f>
        <x:v>14518178.152118</x:v>
      </x:c>
      <x:c r="C13" s="57" t="n">
        <x:v>14518178.152118</x:v>
      </x:c>
      <x:c r="D13" s="57" t="n">
        <x:f>B13-C13</x:f>
        <x:v>0</x:v>
      </x:c>
      <x:c r="E13" s="54" t="str">
        <x:f>IF(ABS(D13)&lt;0.01,"PASS","FAIL")</x:f>
        <x:v>PASS</x:v>
      </x:c>
      <x:c r="F13" s="54" t="str">
        <x:v>Строки источника 9:24; кэшированный итог 13363415.652118; разница 1154762.5</x:v>
      </x:c>
    </x:row>
    <x:row r="14" ht="40" customHeight="1">
      <x:c r="A14" s="55" t="str">
        <x:v>ПЛАНИРУЕМЫЕ ПЛАТЕЖИ ПО ЗАКАЗАМ В РАБОТЕ У ПОСТАВЩИКОВ</x:v>
      </x:c>
      <x:c r="B14" s="58" t="n">
        <x:f>'ПЛАН ОПЛАТ'!J24</x:f>
        <x:v>37929122.02822</x:v>
      </x:c>
      <x:c r="C14" s="58" t="n">
        <x:v>37929122.02822</x:v>
      </x:c>
      <x:c r="D14" s="58" t="n">
        <x:f>B14-C14</x:f>
        <x:v>0</x:v>
      </x:c>
      <x:c r="E14" s="55" t="str">
        <x:f>IF(ABS(D14)&lt;0.01,"PASS","FAIL")</x:f>
        <x:v>PASS</x:v>
      </x:c>
      <x:c r="F14" s="55" t="str">
        <x:v>Строки источника 27:42; кэшированный итог 37929122.02822; разница 0</x:v>
      </x:c>
    </x:row>
    <x:row r="15" ht="40" customHeight="1">
      <x:c r="A15" s="55" t="str">
        <x:v>ПОТРЕБНОСТЬ ПО ПРОЕКТАМ</x:v>
      </x:c>
      <x:c r="B15" s="58" t="n">
        <x:f>'ПЛАН ОПЛАТ'!J41</x:f>
        <x:v>52989061.37066001</x:v>
      </x:c>
      <x:c r="C15" s="58" t="n">
        <x:v>52989061.37066001</x:v>
      </x:c>
      <x:c r="D15" s="58" t="n">
        <x:f>B15-C15</x:f>
        <x:v>0</x:v>
      </x:c>
      <x:c r="E15" s="55" t="str">
        <x:f>IF(ABS(D15)&lt;0.01,"PASS","FAIL")</x:f>
        <x:v>PASS</x:v>
      </x:c>
      <x:c r="F15" s="55" t="str">
        <x:v>Строки источника 45:104; кэшированный итог 51036177.37066001; разница 1952884</x:v>
      </x:c>
    </x:row>
    <x:row r="16" ht="40" customHeight="1">
      <x:c r="A16" s="55" t="str">
        <x:v>ЗАКУПКИ В КИТАЕ</x:v>
      </x:c>
      <x:c r="B16" s="58" t="n">
        <x:f>'ПЛАН ОПЛАТ'!J102</x:f>
        <x:v>1946050</x:v>
      </x:c>
      <x:c r="C16" s="58" t="n">
        <x:v>1946050</x:v>
      </x:c>
      <x:c r="D16" s="58" t="n">
        <x:f>B16-C16</x:f>
        <x:v>0</x:v>
      </x:c>
      <x:c r="E16" s="55" t="str">
        <x:f>IF(ABS(D16)&lt;0.01,"PASS","FAIL")</x:f>
        <x:v>PASS</x:v>
      </x:c>
      <x:c r="F16" s="55" t="str">
        <x:v>Строки источника 107:109; кэшированный итог 1356100; разница 589950</x:v>
      </x:c>
    </x:row>
    <x:row r="17" ht="40" customHeight="1">
      <x:c r="A17" s="55" t="str">
        <x:v>ПОТРЕБНОСТЬ ПО ПРОИЗВОДСТВУ</x:v>
      </x:c>
      <x:c r="B17" s="58" t="n">
        <x:f>'ПЛАН ОПЛАТ'!J106</x:f>
        <x:v>10696736.899999999</x:v>
      </x:c>
      <x:c r="C17" s="58" t="n">
        <x:v>10696736.899999999</x:v>
      </x:c>
      <x:c r="D17" s="58" t="n">
        <x:f>B17-C17</x:f>
        <x:v>0</x:v>
      </x:c>
      <x:c r="E17" s="55" t="str">
        <x:f>IF(ABS(D17)&lt;0.01,"PASS","FAIL")</x:f>
        <x:v>PASS</x:v>
      </x:c>
      <x:c r="F17" s="55" t="str">
        <x:v>Строки источника 112:124; кэшированный итог 10696736.899999999; разница 0</x:v>
      </x:c>
    </x:row>
    <x:row r="18" ht="40" customHeight="1">
      <x:c r="A18" s="56" t="str">
        <x:v>ТРАНСПОРТНЫЕ РАСХОДЫ</x:v>
      </x:c>
      <x:c r="B18" s="59" t="n">
        <x:f>'ПЛАН ОПЛАТ'!J120</x:f>
        <x:v>1690000</x:v>
      </x:c>
      <x:c r="C18" s="59" t="n">
        <x:v>1690000</x:v>
      </x:c>
      <x:c r="D18" s="59" t="n">
        <x:f>B18-C18</x:f>
        <x:v>0</x:v>
      </x:c>
      <x:c r="E18" s="56" t="str">
        <x:f>IF(ABS(D18)&lt;0.01,"PASS","FAIL")</x:f>
        <x:v>PASS</x:v>
      </x:c>
      <x:c r="F18" s="56" t="str">
        <x:v>Строки источника 127:138; кэшированный итог 1630000; разница 60000</x:v>
      </x:c>
    </x:row>
    <x:row r="20">
      <x:c r="A20" s="94" t="str">
        <x:v>ПРОВЕРКА НОМЕРОВ ЗАКАЗА — 5 строк</x:v>
      </x:c>
      <x:c r="B20" s="94"/>
      <x:c r="C20" s="94"/>
      <x:c r="D20" s="94"/>
      <x:c r="E20" s="94"/>
      <x:c r="F20" s="94"/>
      <x:c r="G20" s="94"/>
    </x:row>
    <x:row r="21">
      <x:c r="A21" s="15" t="str">
        <x:v>Строка источника</x:v>
      </x:c>
      <x:c r="B21" s="15" t="str">
        <x:v>Поставщик</x:v>
      </x:c>
      <x:c r="C21" s="15" t="str">
        <x:v>Плательщик</x:v>
      </x:c>
      <x:c r="D21" s="15" t="str">
        <x:v>Проект из реестра</x:v>
      </x:c>
      <x:c r="E21" s="15" t="str">
        <x:v>Извлечённый № заказа</x:v>
      </x:c>
      <x:c r="F21" s="15" t="str">
        <x:v>Неизвлечённые числа</x:v>
      </x:c>
      <x:c r="G21" s="15" t="str">
        <x:v>Причина</x:v>
      </x:c>
    </x:row>
    <x:row r="22" ht="36" customHeight="1">
      <x:c r="A22" s="54" t="n">
        <x:v>9</x:v>
      </x:c>
      <x:c r="B22" s="54" t="str">
        <x:v>БК-АЛПРОФ</x:v>
      </x:c>
      <x:c r="C22" s="54" t="str">
        <x:v>ВР логистик</x:v>
      </x:c>
      <x:c r="D22" s="54" t="str">
        <x:v>ПРЕОБРАЖЕНСКАЯ площадь 185 186</x:v>
      </x:c>
      <x:c r="E22" s="54"/>
      <x:c r="F22" s="54" t="str">
        <x:v>185, 186</x:v>
      </x:c>
      <x:c r="G22" s="54" t="str">
        <x:v>Числа не перенесены в номер заказа, потому что в источнике перед ними нет знака «№».</x:v>
      </x:c>
    </x:row>
    <x:row r="23" ht="36" customHeight="1">
      <x:c r="A23" s="55" t="n">
        <x:v>10</x:v>
      </x:c>
      <x:c r="B23" s="55" t="str">
        <x:v>БК-АЛПРОФ</x:v>
      </x:c>
      <x:c r="C23" s="55" t="str">
        <x:v>ВР логистик</x:v>
      </x:c>
      <x:c r="D23" s="55" t="str">
        <x:v>ПРЕОБРАЖЕНСКАЯ площадь 185 186</x:v>
      </x:c>
      <x:c r="E23" s="55"/>
      <x:c r="F23" s="55" t="str">
        <x:v>185, 186</x:v>
      </x:c>
      <x:c r="G23" s="55" t="str">
        <x:v>Числа не перенесены в номер заказа, потому что в источнике перед ними нет знака «№».</x:v>
      </x:c>
    </x:row>
    <x:row r="24" ht="36" customHeight="1">
      <x:c r="A24" s="55" t="n">
        <x:v>18</x:v>
      </x:c>
      <x:c r="B24" s="55" t="str">
        <x:v>ТЕХНОПЛАСТ33</x:v>
      </x:c>
      <x:c r="C24" s="55" t="str">
        <x:v>ГЛАВПРОЕКТ</x:v>
      </x:c>
      <x:c r="D24" s="55" t="str">
        <x:v>№ 370 В Д Н Х , 358 Сарань 265 ЦОД СТИ</x:v>
      </x:c>
      <x:c r="E24" s="55" t="str">
        <x:v>370</x:v>
      </x:c>
      <x:c r="F24" s="55" t="str">
        <x:v>358, 265</x:v>
      </x:c>
      <x:c r="G24" s="55" t="str">
        <x:v>Числа не перенесены в номер заказа, потому что в источнике перед ними нет знака «№».</x:v>
      </x:c>
    </x:row>
    <x:row r="25" ht="36" customHeight="1">
      <x:c r="A25" s="55" t="n">
        <x:v>39</x:v>
      </x:c>
      <x:c r="B25" s="55" t="str">
        <x:v>ЦОМ МОСТ-1 ООО</x:v>
      </x:c>
      <x:c r="C25" s="55" t="str">
        <x:v>ГЛАВПРОЕКТ спец</x:v>
      </x:c>
      <x:c r="D25" s="55" t="str">
        <x:v>СБЕР 359 365, ЦОД СТИ 268</x:v>
      </x:c>
      <x:c r="E25" s="55"/>
      <x:c r="F25" s="55" t="str">
        <x:v>359, 365, 268</x:v>
      </x:c>
      <x:c r="G25" s="55" t="str">
        <x:v>Числа не перенесены в номер заказа, потому что в источнике перед ними нет знака «№».</x:v>
      </x:c>
    </x:row>
    <x:row r="26" ht="36" customHeight="1">
      <x:c r="A26" s="56" t="n">
        <x:v>93</x:v>
      </x:c>
      <x:c r="B26" s="56" t="str">
        <x:v>ЭКОВЕРМ</x:v>
      </x:c>
      <x:c r="C26" s="56" t="str">
        <x:v>ГЛАВПРОЕКТ</x:v>
      </x:c>
      <x:c r="D26" s="56" t="str">
        <x:v>№368 Фрязино 126</x:v>
      </x:c>
      <x:c r="E26" s="56" t="str">
        <x:v>368</x:v>
      </x:c>
      <x:c r="F26" s="56" t="str">
        <x:v>126</x:v>
      </x:c>
      <x:c r="G26" s="56" t="str">
        <x:v>Числа не перенесены в номер заказа, потому что в источнике перед ними нет знака «№».</x:v>
      </x:c>
    </x:row>
  </x:sheetData>
  <x:mergeCells>
    <x:mergeCell ref="A1:G1"/>
    <x:mergeCell ref="A11:G11"/>
    <x:mergeCell ref="A20:G20"/>
  </x:mergeCells>
  <x:conditionalFormatting sqref="E4:E18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16" hidden="0" customWidth="1"/>
    <x:col min="4" max="4" width="58" hidden="0" customWidth="1"/>
  </x:cols>
  <x:sheetData>
    <x:row r="1">
      <x:c r="A1" s="4" t="str">
        <x:v>ИСТОЧНИКИ И ПРАВИЛА ФОРМИРОВАНИЯ</x:v>
      </x:c>
      <x:c r="B1" s="4"/>
      <x:c r="C1" s="4"/>
      <x:c r="D1" s="4"/>
    </x:row>
    <x:row r="3">
      <x:c r="A3" s="15" t="str">
        <x:v>Параметр</x:v>
      </x:c>
      <x:c r="B3" s="15" t="str">
        <x:v>Значение</x:v>
      </x:c>
      <x:c r="C3" s="15" t="str">
        <x:v>Уверенность</x:v>
      </x:c>
      <x:c r="D3" s="15" t="str">
        <x:v>Примечание</x:v>
      </x:c>
    </x:row>
    <x:row r="4" ht="54" customHeight="1">
      <x:c r="A4" s="54" t="str">
        <x:v>Реестр оплат</x:v>
      </x:c>
      <x:c r="B4" s="54" t="str">
        <x:v>ПРОИЗВОДСТВО Реестр на согласование  на 17 08 2026_(1).xlsx</x:v>
      </x:c>
      <x:c r="C4" s="54" t="str">
        <x:v>Высокая</x:v>
      </x:c>
      <x:c r="D4" s="54" t="str">
        <x:v>Лист «17.08.2026», шесть разделов до строки «ОПЛАЧЕНО». Сверено 18.08.2026: 120 строк, состав и суммы совпадают с предыдущей версией плана.</x:v>
      </x:c>
    </x:row>
    <x:row r="5" ht="31" customHeight="1">
      <x:c r="A5" s="55" t="str">
        <x:v>Дата реестра</x:v>
      </x:c>
      <x:c r="B5" s="55" t="str">
        <x:v>17.08.2026</x:v>
      </x:c>
      <x:c r="C5" s="55" t="str">
        <x:v>Высокая</x:v>
      </x:c>
      <x:c r="D5" s="55" t="str">
        <x:v>Дата указана в названии актуального листа</x:v>
      </x:c>
    </x:row>
    <x:row r="6" ht="31" customHeight="1">
      <x:c r="A6" s="55" t="str">
        <x:v>Файл сальдо</x:v>
      </x:c>
      <x:c r="B6" s="55" t="str">
        <x:v>САЛЬДО на 13 августа.xls</x:v>
      </x:c>
      <x:c r="C6" s="55" t="str">
        <x:v>Высокая</x:v>
      </x:c>
      <x:c r="D6" s="55" t="str">
        <x:v>Новый файл сальдо на 17.08.2026 не предоставлен</x:v>
      </x:c>
    </x:row>
    <x:row r="7" ht="31" customHeight="1">
      <x:c r="A7" s="55" t="str">
        <x:v>Дата сальдо</x:v>
      </x:c>
      <x:c r="B7" s="55" t="str">
        <x:v>13.08.2026</x:v>
      </x:c>
      <x:c r="C7" s="55" t="str">
        <x:v>Высокая</x:v>
      </x:c>
      <x:c r="D7" s="55" t="str">
        <x:v>Дата сальдо сохранена без переименования</x:v>
      </x:c>
    </x:row>
    <x:row r="8" ht="31" customHeight="1">
      <x:c r="A8" s="55" t="str">
        <x:v>ПЛАТЕЛЬЩИК</x:v>
      </x:c>
      <x:c r="B8" s="55" t="str">
        <x:v>ОРГАНИЗАЦИЯ из файла сальдо</x:v>
      </x:c>
      <x:c r="C8" s="55" t="str">
        <x:v>Высокая</x:v>
      </x:c>
      <x:c r="D8" s="55" t="str">
        <x:v>Правило задано пользователем</x:v>
      </x:c>
    </x:row>
    <x:row r="9" ht="31" customHeight="1">
      <x:c r="A9" s="55" t="str">
        <x:v>ПОСТАВЩИК</x:v>
      </x:c>
      <x:c r="B9" s="55" t="str">
        <x:v>КОНТРАГЕНТ из файла сальдо</x:v>
      </x:c>
      <x:c r="C9" s="55" t="str">
        <x:v>Высокая</x:v>
      </x:c>
      <x:c r="D9" s="55" t="str">
        <x:v>Правило задано пользователем</x:v>
      </x:c>
    </x:row>
    <x:row r="10" ht="31" customHeight="1">
      <x:c r="A10" s="55" t="str">
        <x:v>Конечное сальдо</x:v>
      </x:c>
      <x:c r="B10" s="55" t="str">
        <x:v>Только первая строка пары</x:v>
      </x:c>
      <x:c r="C10" s="55" t="str">
        <x:v>Высокая</x:v>
      </x:c>
      <x:c r="D10" s="55" t="str">
        <x:v>Отрицательные суммы отображаются красным цветом в скобках</x:v>
      </x:c>
    </x:row>
    <x:row r="11" ht="31" customHeight="1">
      <x:c r="A11" s="55" t="str">
        <x:v>Номер заказа</x:v>
      </x:c>
      <x:c r="B11" s="55" t="str">
        <x:v>Только числа после знака «№»</x:v>
      </x:c>
      <x:c r="C11" s="55" t="str">
        <x:v>Средняя</x:v>
      </x:c>
      <x:c r="D11" s="55" t="str">
        <x:v>Остальные трёхзначные числа вынесены на лист «КОНТРОЛЬ»</x:v>
      </x:c>
    </x:row>
    <x:row r="12" ht="31" customHeight="1">
      <x:c r="A12" s="55" t="str">
        <x:v>Не найденные пары</x:v>
      </x:c>
      <x:c r="B12" s="55" t="str">
        <x:v>Конечное сальдо оставлено пустым</x:v>
      </x:c>
      <x:c r="C12" s="55" t="str">
        <x:v>Высокая</x:v>
      </x:c>
      <x:c r="D12" s="55" t="str">
        <x:v>Аналоги и вероятные совпадения не применялись</x:v>
      </x:c>
    </x:row>
    <x:row r="13" ht="31" customHeight="1">
      <x:c r="A13" s="55" t="str">
        <x:v>Повторные пары</x:v>
      </x:c>
      <x:c r="B13" s="55" t="str">
        <x:v>Сальдо только в первой строке пары</x:v>
      </x:c>
      <x:c r="C13" s="55" t="str">
        <x:v>Высокая</x:v>
      </x:c>
      <x:c r="D13" s="55" t="str">
        <x:v>Повторных найденных пар без повторного сальдо: 34</x:v>
      </x:c>
    </x:row>
    <x:row r="14" ht="52" customHeight="1">
      <x:c r="A14" s="55" t="str">
        <x:v>Разделы</x:v>
      </x:c>
      <x:c r="B14" s="55" t="str">
        <x:v>6 разделов в порядке реестра</x:v>
      </x:c>
      <x:c r="C14" s="55" t="str">
        <x:v>Высокая</x:v>
      </x:c>
      <x:c r="D14" s="55" t="str">
        <x:v>ЗАДОЛЖЕННОСТЬ ПО ОТГРУЖЕННЫМ ТОВАРАМ; ПЛАНИРУЕМЫЕ ПЛАТЕЖИ ПО ЗАКАЗАМ В РАБОТЕ У ПОСТАВЩИКОВ; ПОТРЕБНОСТЬ ПО ПРОЕКТАМ; ЗАКУПКИ В КИТАЕ; ПОТРЕБНОСТЬ ПО ПРОИЗВОДСТВУ; ТРАНСПОРТНЫЕ РАСХОДЫ</x:v>
      </x:c>
    </x:row>
    <x:row r="15" ht="52" customHeight="1">
      <x:c r="A15" s="56" t="str">
        <x:v>Итоги разделов</x:v>
      </x:c>
      <x:c r="B15" s="56" t="str">
        <x:v>Формулы по строкам каждого раздела</x:v>
      </x:c>
      <x:c r="C15" s="56" t="str">
        <x:v>Высокая</x:v>
      </x:c>
      <x:c r="D15" s="56" t="str">
        <x:v>Кэшированные итоги исходного реестра не совпадают с суммой части строк; в ПЛАНЕ ОПЛАТ итоги пересчитаны</x:v>
      </x:c>
    </x:row>
    <x:row r="17">
      <x:c r="A17" s="100" t="str">
        <x:v>РУЧНЫЕ ДАННЫЕ ПО КОНЕЧНОМУ САЛЬДО</x:v>
      </x:c>
      <x:c r="B17" s="100"/>
      <x:c r="C17" s="100"/>
      <x:c r="D17" s="100"/>
    </x:row>
    <x:row r="18">
      <x:c r="A18" s="102" t="str">
        <x:v>Поставщик</x:v>
      </x:c>
      <x:c r="B18" s="102" t="str">
        <x:v>Плательщик</x:v>
      </x:c>
      <x:c r="C18" s="102" t="str">
        <x:v>Сумма, руб.</x:v>
      </x:c>
      <x:c r="D18" s="102" t="str">
        <x:v>Источник</x:v>
      </x:c>
    </x:row>
    <x:row r="19">
      <x:c r="A19" s="54" t="str">
        <x:v>БК Алпроф</x:v>
      </x:c>
      <x:c r="B19" s="54" t="str">
        <x:v>ВР - ЛОГИСТИК ООО</x:v>
      </x:c>
      <x:c r="C19" s="57" t="n">
        <x:v>-6606744.55</x:v>
      </x:c>
      <x:c r="D19" s="54" t="str">
        <x:v>Данные пользователя от 13.08.2026</x:v>
      </x:c>
    </x:row>
    <x:row r="20">
      <x:c r="A20" s="55" t="str">
        <x:v>БК Алпроф</x:v>
      </x:c>
      <x:c r="B20" s="55" t="str">
        <x:v>ГЛАВПРОЕКТ ООО</x:v>
      </x:c>
      <x:c r="C20" s="58" t="n">
        <x:v>-0.02</x:v>
      </x:c>
      <x:c r="D20" s="55" t="str">
        <x:v>Данные пользователя от 13.08.2026</x:v>
      </x:c>
    </x:row>
    <x:row r="21">
      <x:c r="A21" s="56" t="str">
        <x:v>БК Алпроф</x:v>
      </x:c>
      <x:c r="B21" s="56" t="str">
        <x:v>НПК ТЕХНОПРОГРЕСС ООО</x:v>
      </x:c>
      <x:c r="C21" s="59" t="n">
        <x:v>-2065032.92</x:v>
      </x:c>
      <x:c r="D21" s="56" t="str">
        <x:v>Данные пользователя от 13.08.2026</x:v>
      </x:c>
    </x:row>
  </x:sheetData>
  <x:mergeCells>
    <x:mergeCell ref="A1:D1"/>
    <x:mergeCell ref="A17:D17"/>
  </x:mergeCells>
  <x:pageMargins left="0.7" right="0.7" top="0.75" bottom="0.75" header="0.3" footer="0.3"/>
</x:worksheet>
</file>