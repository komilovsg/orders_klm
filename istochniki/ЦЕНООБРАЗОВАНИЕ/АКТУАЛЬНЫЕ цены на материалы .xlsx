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332"/>
  <workbookPr/>
  <mc:AlternateContent xmlns:mc="http://schemas.openxmlformats.org/markup-compatibility/2006">
    <mc:Choice Requires="x15">
      <x15ac:absPath xmlns:x15ac="http://schemas.microsoft.com/office/spreadsheetml/2010/11/ac" url="\\192.168.100.10\общая\Иванова\Лифшиц\"/>
    </mc:Choice>
  </mc:AlternateContent>
  <xr:revisionPtr revIDLastSave="0" documentId="13_ncr:1_{2BB742CF-189E-4C4C-BFEA-2DFD2E694F0A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ОБЩЕЕ" sheetId="4" r:id="rId1"/>
    <sheet name="ПРОФИЛИ" sheetId="5" r:id="rId2"/>
    <sheet name="Лист1" sheetId="1" state="hidden" r:id="rId3"/>
    <sheet name="Лист2" sheetId="2" state="hidden" r:id="rId4"/>
    <sheet name="архив" sheetId="3" state="hidden" r:id="rId5"/>
  </sheets>
  <calcPr calcId="191029" refMode="R1C1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BC16" i="4" l="1"/>
  <c r="G10" i="4"/>
  <c r="H10" i="4" s="1"/>
  <c r="I10" i="4" s="1"/>
  <c r="J10" i="4" s="1"/>
  <c r="K10" i="4" s="1"/>
  <c r="L10" i="4" s="1"/>
  <c r="M10" i="4" s="1"/>
  <c r="N10" i="4" s="1"/>
  <c r="O10" i="4" s="1"/>
  <c r="P10" i="4" s="1"/>
  <c r="Q10" i="4" s="1"/>
  <c r="R10" i="4" s="1"/>
  <c r="S10" i="4" s="1"/>
  <c r="T10" i="4" s="1"/>
  <c r="U10" i="4" s="1"/>
  <c r="V10" i="4" s="1"/>
  <c r="W10" i="4" s="1"/>
  <c r="X10" i="4" s="1"/>
  <c r="Y10" i="4" s="1"/>
  <c r="Z10" i="4" s="1"/>
  <c r="G5" i="4"/>
  <c r="J5" i="4"/>
  <c r="BC6" i="4" l="1"/>
  <c r="BC24" i="4"/>
  <c r="BB6" i="4"/>
  <c r="BB24" i="4"/>
  <c r="BB16" i="4"/>
  <c r="BA24" i="4"/>
  <c r="BA16" i="4"/>
  <c r="AZ24" i="4"/>
  <c r="AZ16" i="4"/>
  <c r="L48" i="5"/>
  <c r="E48" i="5" s="1"/>
  <c r="D45" i="5"/>
  <c r="L44" i="5"/>
  <c r="D44" i="5"/>
  <c r="E44" i="5" s="1"/>
  <c r="L43" i="5"/>
  <c r="E43" i="5"/>
  <c r="L42" i="5"/>
  <c r="E42" i="5"/>
  <c r="L41" i="5"/>
  <c r="E41" i="5"/>
  <c r="L40" i="5"/>
  <c r="E40" i="5"/>
  <c r="L39" i="5"/>
  <c r="E39" i="5"/>
  <c r="L38" i="5"/>
  <c r="E38" i="5"/>
  <c r="E36" i="5"/>
  <c r="L34" i="5"/>
  <c r="F34" i="5"/>
  <c r="E34" i="5"/>
  <c r="L33" i="5"/>
  <c r="E33" i="5"/>
  <c r="L32" i="5"/>
  <c r="E32" i="5"/>
  <c r="L31" i="5"/>
  <c r="E31" i="5"/>
  <c r="L30" i="5"/>
  <c r="E30" i="5"/>
  <c r="L29" i="5"/>
  <c r="E29" i="5"/>
  <c r="L28" i="5"/>
  <c r="E28" i="5"/>
  <c r="E26" i="5"/>
  <c r="E24" i="5"/>
  <c r="E22" i="5"/>
  <c r="E20" i="5"/>
  <c r="E18" i="5"/>
  <c r="E16" i="5"/>
  <c r="E15" i="5"/>
  <c r="E14" i="5"/>
  <c r="E13" i="5"/>
  <c r="E12" i="5"/>
  <c r="E11" i="5"/>
  <c r="E10" i="5"/>
  <c r="E9" i="5"/>
  <c r="E8" i="5"/>
  <c r="E7" i="5"/>
  <c r="M6" i="5"/>
  <c r="L6" i="5"/>
  <c r="L5" i="5"/>
  <c r="L4" i="5"/>
  <c r="L3" i="5"/>
  <c r="AY16" i="4"/>
  <c r="AY14" i="4"/>
  <c r="AX15" i="4"/>
  <c r="AW15" i="4"/>
  <c r="AV15" i="4"/>
  <c r="J6" i="4"/>
  <c r="K6" i="4" s="1"/>
  <c r="J4" i="4"/>
  <c r="G6" i="4"/>
  <c r="G9" i="4"/>
  <c r="H9" i="4" s="1"/>
  <c r="I9" i="4" s="1"/>
  <c r="J9" i="4" s="1"/>
  <c r="G11" i="4"/>
  <c r="H11" i="4" s="1"/>
  <c r="I11" i="4" s="1"/>
  <c r="J11" i="4" s="1"/>
  <c r="K11" i="4" s="1"/>
  <c r="L11" i="4" s="1"/>
  <c r="M11" i="4" s="1"/>
  <c r="N11" i="4" s="1"/>
  <c r="O11" i="4" s="1"/>
  <c r="P11" i="4" s="1"/>
  <c r="Q11" i="4" s="1"/>
  <c r="R11" i="4" s="1"/>
  <c r="S11" i="4" s="1"/>
  <c r="T11" i="4" s="1"/>
  <c r="U11" i="4" s="1"/>
  <c r="V11" i="4" s="1"/>
  <c r="W11" i="4" s="1"/>
  <c r="X11" i="4" s="1"/>
  <c r="Y11" i="4" s="1"/>
  <c r="Z11" i="4" s="1"/>
  <c r="G18" i="4"/>
  <c r="H18" i="4" s="1"/>
  <c r="I18" i="4" s="1"/>
  <c r="J18" i="4" s="1"/>
  <c r="K18" i="4" s="1"/>
  <c r="L18" i="4" s="1"/>
  <c r="M18" i="4" s="1"/>
  <c r="N18" i="4" s="1"/>
  <c r="O18" i="4" s="1"/>
  <c r="P18" i="4" s="1"/>
  <c r="Q18" i="4" s="1"/>
  <c r="R18" i="4" s="1"/>
  <c r="S18" i="4" s="1"/>
  <c r="G12" i="4"/>
  <c r="H12" i="4" s="1"/>
  <c r="I12" i="4" s="1"/>
  <c r="J12" i="4" s="1"/>
  <c r="K12" i="4" s="1"/>
  <c r="L12" i="4" s="1"/>
  <c r="M12" i="4" s="1"/>
  <c r="N12" i="4" s="1"/>
  <c r="O12" i="4" s="1"/>
  <c r="P12" i="4" s="1"/>
  <c r="Q12" i="4" s="1"/>
  <c r="R12" i="4" s="1"/>
  <c r="S12" i="4" s="1"/>
  <c r="T12" i="4" s="1"/>
  <c r="U12" i="4" s="1"/>
  <c r="V12" i="4" s="1"/>
  <c r="G13" i="4"/>
  <c r="H13" i="4" s="1"/>
  <c r="I13" i="4" s="1"/>
  <c r="J13" i="4" s="1"/>
  <c r="K13" i="4" s="1"/>
  <c r="L13" i="4" s="1"/>
  <c r="M13" i="4" s="1"/>
  <c r="N13" i="4" s="1"/>
  <c r="O13" i="4" s="1"/>
  <c r="G19" i="4"/>
  <c r="H19" i="4" s="1"/>
  <c r="I19" i="4" s="1"/>
  <c r="J19" i="4" s="1"/>
  <c r="K19" i="4" s="1"/>
  <c r="L19" i="4" s="1"/>
  <c r="M19" i="4" s="1"/>
  <c r="N19" i="4" s="1"/>
  <c r="O19" i="4" s="1"/>
  <c r="P19" i="4" s="1"/>
  <c r="Q19" i="4" s="1"/>
  <c r="R19" i="4" s="1"/>
  <c r="S19" i="4" s="1"/>
  <c r="T19" i="4" s="1"/>
  <c r="U19" i="4" s="1"/>
  <c r="V19" i="4" s="1"/>
  <c r="W19" i="4" s="1"/>
  <c r="X19" i="4" s="1"/>
  <c r="Y19" i="4" s="1"/>
  <c r="Z19" i="4" s="1"/>
  <c r="AA19" i="4" s="1"/>
  <c r="AB19" i="4" s="1"/>
  <c r="G20" i="4"/>
  <c r="H20" i="4" s="1"/>
  <c r="I20" i="4" s="1"/>
  <c r="J20" i="4" s="1"/>
  <c r="K20" i="4" s="1"/>
  <c r="L20" i="4" s="1"/>
  <c r="M20" i="4" s="1"/>
  <c r="N20" i="4" s="1"/>
  <c r="O20" i="4" s="1"/>
  <c r="P20" i="4" s="1"/>
  <c r="Q20" i="4" s="1"/>
  <c r="R20" i="4" s="1"/>
  <c r="S20" i="4" s="1"/>
  <c r="T20" i="4" s="1"/>
  <c r="U20" i="4" s="1"/>
  <c r="V20" i="4" s="1"/>
  <c r="W20" i="4" s="1"/>
  <c r="X20" i="4" s="1"/>
  <c r="Y20" i="4" s="1"/>
  <c r="Z20" i="4" s="1"/>
  <c r="AA20" i="4" s="1"/>
  <c r="AB20" i="4" s="1"/>
  <c r="AC20" i="4" s="1"/>
  <c r="AD20" i="4" s="1"/>
  <c r="AE20" i="4" s="1"/>
  <c r="AF20" i="4" s="1"/>
  <c r="AG20" i="4" s="1"/>
  <c r="AH20" i="4" s="1"/>
  <c r="AI20" i="4" s="1"/>
  <c r="AJ20" i="4" s="1"/>
  <c r="AK20" i="4" s="1"/>
  <c r="AL20" i="4" s="1"/>
  <c r="AM20" i="4" s="1"/>
  <c r="AN20" i="4" s="1"/>
  <c r="AO20" i="4" s="1"/>
  <c r="AP20" i="4" s="1"/>
  <c r="AQ20" i="4" s="1"/>
  <c r="AR20" i="4" s="1"/>
  <c r="AS20" i="4" s="1"/>
  <c r="AT20" i="4" s="1"/>
  <c r="AU20" i="4" s="1"/>
  <c r="AV20" i="4" s="1"/>
  <c r="AW20" i="4" s="1"/>
  <c r="AX20" i="4" s="1"/>
  <c r="AY20" i="4" s="1"/>
  <c r="AZ20" i="4" s="1"/>
  <c r="BA20" i="4" s="1"/>
  <c r="BB20" i="4" s="1"/>
  <c r="BC20" i="4" s="1"/>
  <c r="G21" i="4"/>
  <c r="H21" i="4" s="1"/>
  <c r="I21" i="4" s="1"/>
  <c r="J21" i="4" s="1"/>
  <c r="K21" i="4" s="1"/>
  <c r="L21" i="4" s="1"/>
  <c r="M21" i="4" s="1"/>
  <c r="N21" i="4" s="1"/>
  <c r="O21" i="4" s="1"/>
  <c r="P21" i="4" s="1"/>
  <c r="Q21" i="4" s="1"/>
  <c r="R21" i="4" s="1"/>
  <c r="S21" i="4" s="1"/>
  <c r="T21" i="4" s="1"/>
  <c r="U21" i="4" s="1"/>
  <c r="V21" i="4" s="1"/>
  <c r="W21" i="4" s="1"/>
  <c r="X21" i="4" s="1"/>
  <c r="Y21" i="4" s="1"/>
  <c r="Z21" i="4" s="1"/>
  <c r="AA21" i="4" s="1"/>
  <c r="AB21" i="4" s="1"/>
  <c r="AC21" i="4" s="1"/>
  <c r="AD21" i="4" s="1"/>
  <c r="AE21" i="4" s="1"/>
  <c r="AF21" i="4" s="1"/>
  <c r="AG21" i="4" s="1"/>
  <c r="AH21" i="4" s="1"/>
  <c r="AI21" i="4" s="1"/>
  <c r="AJ21" i="4" s="1"/>
  <c r="AK21" i="4" s="1"/>
  <c r="AL21" i="4" s="1"/>
  <c r="AM21" i="4" s="1"/>
  <c r="AN21" i="4" s="1"/>
  <c r="AO21" i="4" s="1"/>
  <c r="AP21" i="4" s="1"/>
  <c r="AQ21" i="4" s="1"/>
  <c r="AR21" i="4" s="1"/>
  <c r="AS21" i="4" s="1"/>
  <c r="G22" i="4"/>
  <c r="H22" i="4" s="1"/>
  <c r="I22" i="4" s="1"/>
  <c r="J22" i="4" s="1"/>
  <c r="K22" i="4" s="1"/>
  <c r="L22" i="4" s="1"/>
  <c r="G23" i="4"/>
  <c r="H23" i="4" s="1"/>
  <c r="I23" i="4" s="1"/>
  <c r="J23" i="4" s="1"/>
  <c r="K23" i="4" s="1"/>
  <c r="L23" i="4" s="1"/>
  <c r="M23" i="4" s="1"/>
  <c r="N23" i="4" s="1"/>
  <c r="O23" i="4" s="1"/>
  <c r="P23" i="4" s="1"/>
  <c r="Q23" i="4" s="1"/>
  <c r="R23" i="4" s="1"/>
  <c r="S23" i="4" s="1"/>
  <c r="T23" i="4" s="1"/>
  <c r="U23" i="4" s="1"/>
  <c r="V23" i="4" s="1"/>
  <c r="W23" i="4" s="1"/>
  <c r="X23" i="4" s="1"/>
  <c r="Y23" i="4" s="1"/>
  <c r="Z23" i="4" s="1"/>
  <c r="AA23" i="4" s="1"/>
  <c r="AB23" i="4" s="1"/>
  <c r="AC23" i="4" s="1"/>
  <c r="AD23" i="4" s="1"/>
  <c r="AE23" i="4" s="1"/>
  <c r="AF23" i="4" s="1"/>
  <c r="AG23" i="4" s="1"/>
  <c r="AH23" i="4" s="1"/>
  <c r="AI23" i="4" s="1"/>
  <c r="AJ23" i="4" s="1"/>
  <c r="AK23" i="4" s="1"/>
  <c r="AL23" i="4" s="1"/>
  <c r="AM23" i="4" s="1"/>
  <c r="AN23" i="4" s="1"/>
  <c r="AO23" i="4" s="1"/>
  <c r="AP23" i="4" s="1"/>
  <c r="AQ23" i="4" s="1"/>
  <c r="AR23" i="4" s="1"/>
  <c r="AS23" i="4" s="1"/>
  <c r="AT23" i="4" s="1"/>
  <c r="AU23" i="4" s="1"/>
  <c r="AV23" i="4" s="1"/>
  <c r="AW23" i="4" s="1"/>
  <c r="AX23" i="4" s="1"/>
  <c r="AY23" i="4" s="1"/>
  <c r="AZ23" i="4" s="1"/>
  <c r="BA23" i="4" s="1"/>
  <c r="BB23" i="4" s="1"/>
  <c r="BC23" i="4" s="1"/>
  <c r="G25" i="4"/>
  <c r="H25" i="4" s="1"/>
  <c r="I25" i="4" s="1"/>
  <c r="J25" i="4" s="1"/>
  <c r="K25" i="4" s="1"/>
  <c r="L25" i="4" s="1"/>
  <c r="M25" i="4" s="1"/>
  <c r="N25" i="4" s="1"/>
  <c r="O25" i="4" s="1"/>
  <c r="P25" i="4" s="1"/>
  <c r="Q25" i="4" s="1"/>
  <c r="R25" i="4" s="1"/>
  <c r="S25" i="4" s="1"/>
  <c r="T25" i="4" s="1"/>
  <c r="U25" i="4" s="1"/>
  <c r="V25" i="4" s="1"/>
  <c r="W25" i="4" s="1"/>
  <c r="X25" i="4" s="1"/>
  <c r="Y25" i="4" s="1"/>
  <c r="Z25" i="4" s="1"/>
  <c r="AA25" i="4" s="1"/>
  <c r="AB25" i="4" s="1"/>
  <c r="AC25" i="4" s="1"/>
  <c r="G26" i="4"/>
  <c r="H26" i="4" s="1"/>
  <c r="I26" i="4" s="1"/>
  <c r="J26" i="4" s="1"/>
  <c r="K26" i="4" s="1"/>
  <c r="L26" i="4" s="1"/>
  <c r="M26" i="4" s="1"/>
  <c r="N26" i="4" s="1"/>
  <c r="O26" i="4" s="1"/>
  <c r="P26" i="4" s="1"/>
  <c r="Q26" i="4" s="1"/>
  <c r="R26" i="4" s="1"/>
  <c r="S26" i="4" s="1"/>
  <c r="T26" i="4" s="1"/>
  <c r="U26" i="4" s="1"/>
  <c r="V26" i="4" s="1"/>
  <c r="W26" i="4" s="1"/>
  <c r="X26" i="4" s="1"/>
  <c r="Y26" i="4" s="1"/>
  <c r="Z26" i="4" s="1"/>
  <c r="G27" i="4"/>
  <c r="H27" i="4" s="1"/>
  <c r="I27" i="4" s="1"/>
  <c r="J27" i="4" s="1"/>
  <c r="K27" i="4" s="1"/>
  <c r="L27" i="4" s="1"/>
  <c r="M27" i="4" s="1"/>
  <c r="N27" i="4" s="1"/>
  <c r="O27" i="4" s="1"/>
  <c r="P27" i="4" s="1"/>
  <c r="Q27" i="4" s="1"/>
  <c r="R27" i="4" s="1"/>
  <c r="S27" i="4" s="1"/>
  <c r="T27" i="4" s="1"/>
  <c r="U27" i="4" s="1"/>
  <c r="V27" i="4" s="1"/>
  <c r="W27" i="4" s="1"/>
  <c r="X27" i="4" s="1"/>
  <c r="Y27" i="4" s="1"/>
  <c r="Z27" i="4" s="1"/>
  <c r="AA27" i="4" s="1"/>
  <c r="AB27" i="4" s="1"/>
  <c r="AC27" i="4" s="1"/>
  <c r="AD27" i="4" s="1"/>
  <c r="AE27" i="4" s="1"/>
  <c r="AF27" i="4" s="1"/>
  <c r="AG27" i="4" s="1"/>
  <c r="AH27" i="4" s="1"/>
  <c r="AI27" i="4" s="1"/>
  <c r="AJ27" i="4" s="1"/>
  <c r="AK27" i="4" s="1"/>
  <c r="AL27" i="4" s="1"/>
  <c r="AM27" i="4" s="1"/>
  <c r="AN27" i="4" s="1"/>
  <c r="G4" i="4"/>
  <c r="J117" i="3"/>
  <c r="E45" i="5" l="1"/>
  <c r="E3" i="5"/>
  <c r="E4" i="5"/>
  <c r="E5" i="5"/>
  <c r="E6" i="5"/>
  <c r="L7" i="5"/>
  <c r="L8" i="5"/>
  <c r="L9" i="5"/>
  <c r="L10" i="5"/>
  <c r="L11" i="5"/>
  <c r="L12" i="5"/>
  <c r="L13" i="5"/>
  <c r="L14" i="5"/>
  <c r="L15" i="5"/>
  <c r="E17" i="5"/>
  <c r="E19" i="5"/>
  <c r="E21" i="5"/>
  <c r="E23" i="5"/>
  <c r="E25" i="5"/>
  <c r="E27" i="5"/>
  <c r="E35" i="5"/>
  <c r="E37" i="5"/>
  <c r="I117" i="3"/>
  <c r="H117" i="3" l="1"/>
  <c r="G117" i="3" l="1"/>
  <c r="F122" i="3" l="1"/>
  <c r="F119" i="3"/>
  <c r="F117" i="3"/>
  <c r="E122" i="3" l="1"/>
  <c r="E119" i="3"/>
  <c r="E117" i="3"/>
  <c r="D122" i="3" l="1"/>
  <c r="D119" i="3"/>
  <c r="D117" i="3"/>
  <c r="D108" i="3" l="1"/>
  <c r="D105" i="3"/>
  <c r="D103" i="3"/>
  <c r="D92" i="3" l="1"/>
  <c r="D90" i="3"/>
  <c r="E10" i="2" l="1"/>
  <c r="D10" i="2"/>
  <c r="F6" i="2"/>
  <c r="F10" i="2" l="1"/>
  <c r="E9" i="2"/>
  <c r="D9" i="2"/>
  <c r="F9" i="2" l="1"/>
  <c r="F8" i="2"/>
</calcChain>
</file>

<file path=xl/sharedStrings.xml><?xml version="1.0" encoding="utf-8"?>
<sst xmlns="http://schemas.openxmlformats.org/spreadsheetml/2006/main" count="859" uniqueCount="288">
  <si>
    <t>МЕДНАЯ ШИНА</t>
  </si>
  <si>
    <t>CU</t>
  </si>
  <si>
    <t>Поставщик</t>
  </si>
  <si>
    <t>3,5х70 R1.75</t>
  </si>
  <si>
    <t>3,5х60 R1,75</t>
  </si>
  <si>
    <t>3,5х90 R1,75</t>
  </si>
  <si>
    <t>7х65 R3.5</t>
  </si>
  <si>
    <t>7х75 R3.5</t>
  </si>
  <si>
    <t>7х100 R3.5</t>
  </si>
  <si>
    <t>7х130 R3.5</t>
  </si>
  <si>
    <t>7х160 R3.5</t>
  </si>
  <si>
    <t>7х200 R3.5</t>
  </si>
  <si>
    <t>ООО РЭМ</t>
  </si>
  <si>
    <t>V</t>
  </si>
  <si>
    <t>МТ-холдинг</t>
  </si>
  <si>
    <t>ВЦМ Север/АКРОН</t>
  </si>
  <si>
    <t>ЭКСПЕРТ КАБЕЛЬ</t>
  </si>
  <si>
    <t>цена за кг</t>
  </si>
  <si>
    <t>срок исполнения</t>
  </si>
  <si>
    <t xml:space="preserve">ШИНА медная </t>
  </si>
  <si>
    <t>Лист оцинкованный</t>
  </si>
  <si>
    <t>наименование товара</t>
  </si>
  <si>
    <t>поставщик</t>
  </si>
  <si>
    <t>цена за кг, с НДС</t>
  </si>
  <si>
    <t>АКТУАЛЬНЫЕ ЦЕНЫ</t>
  </si>
  <si>
    <t>МАСТЕР МЕТАЛЛ/МЕГАСТАЛЬ</t>
  </si>
  <si>
    <t>ГАЛАКТИКА /МЕТАЛЛСЕРВИС</t>
  </si>
  <si>
    <t>Лист алюминиевый АМГ3</t>
  </si>
  <si>
    <t>Лист алюминиевый А5м</t>
  </si>
  <si>
    <t>шина катодная</t>
  </si>
  <si>
    <t xml:space="preserve">шина ломовая </t>
  </si>
  <si>
    <t xml:space="preserve">ШИНА алюминиевая </t>
  </si>
  <si>
    <t>марка АД0</t>
  </si>
  <si>
    <t>марка АД31</t>
  </si>
  <si>
    <t>не выпускают</t>
  </si>
  <si>
    <t>Лист алюминиевый АД0</t>
  </si>
  <si>
    <t>Лист алюминиевый АД31</t>
  </si>
  <si>
    <t>разница</t>
  </si>
  <si>
    <t>Акрон скрап центр 
(расчетная)</t>
  </si>
  <si>
    <t>Прима центр</t>
  </si>
  <si>
    <t>БК алпроф</t>
  </si>
  <si>
    <t>АВА трейд</t>
  </si>
  <si>
    <t>заказные позиции</t>
  </si>
  <si>
    <t xml:space="preserve">ЛИСТ  стальной холоднокатанный </t>
  </si>
  <si>
    <t>Лист стальной оцинкованный</t>
  </si>
  <si>
    <r>
      <t>МАСТЕР МЕТАЛЛ/</t>
    </r>
    <r>
      <rPr>
        <b/>
        <sz val="18"/>
        <color theme="1"/>
        <rFont val="Calibri"/>
        <family val="2"/>
        <charset val="204"/>
        <scheme val="minor"/>
      </rPr>
      <t>МЕГАСТАЛЬ</t>
    </r>
  </si>
  <si>
    <t>ШИНА алюминиевая</t>
  </si>
  <si>
    <t>ПРОФИЛЬ алюминиевый</t>
  </si>
  <si>
    <t>БК АЛПРОФ</t>
  </si>
  <si>
    <t>355/455 Р</t>
  </si>
  <si>
    <t>БК АЛПРОФ (без покраски/с покраской)</t>
  </si>
  <si>
    <t>ЛИСТ медный</t>
  </si>
  <si>
    <t>363/455 Р</t>
  </si>
  <si>
    <t>РУЛОН стальной оцинкованный ширина 1250, 1500 мм, вес 6 тонн</t>
  </si>
  <si>
    <t>РУЛОН  стальной холоднокатанный  ширина 1250, 1500 мм, вес 6 тонн</t>
  </si>
  <si>
    <t>РУЛОН алюминиевый АМГ3м ширина 1200,1500 мм, вес до 6 тонн</t>
  </si>
  <si>
    <t>365/457 Р</t>
  </si>
  <si>
    <t>375/445 Р</t>
  </si>
  <si>
    <t>93 600, 91 600</t>
  </si>
  <si>
    <t>24/</t>
  </si>
  <si>
    <t>380/506 Р</t>
  </si>
  <si>
    <t>445/525 Р</t>
  </si>
  <si>
    <t>Поликарбонат 3 мм</t>
  </si>
  <si>
    <t xml:space="preserve">изоляторы </t>
  </si>
  <si>
    <t>Технопласт</t>
  </si>
  <si>
    <t>РУБИКОН</t>
  </si>
  <si>
    <t>Порошковая краска 7035</t>
  </si>
  <si>
    <t>порошок напыления ПОС</t>
  </si>
  <si>
    <t xml:space="preserve">О Ц П Н </t>
  </si>
  <si>
    <t>ЭКСПЕРТ КАБЕЛЬ//</t>
  </si>
  <si>
    <t>цена марта 2023</t>
  </si>
  <si>
    <t>ХИМПРОДУКТ ЭКСПОРТ</t>
  </si>
  <si>
    <t>Порошок напыления ПОС</t>
  </si>
  <si>
    <t>Скотч изоляционный</t>
  </si>
  <si>
    <t xml:space="preserve">Пленка ПЭТ </t>
  </si>
  <si>
    <t>Нижегородэлектрозащита</t>
  </si>
  <si>
    <t>ИП Степаненко</t>
  </si>
  <si>
    <t>КОМПАУНД Л Ш П</t>
  </si>
  <si>
    <t>Миротэк</t>
  </si>
  <si>
    <t>Гаскетинг</t>
  </si>
  <si>
    <t>ПОЛИКОМ ПУ</t>
  </si>
  <si>
    <t>от 415 до 427 Р</t>
  </si>
  <si>
    <t>от 1086,6 до 1150 Р</t>
  </si>
  <si>
    <t>от 1119 до 1150 Р</t>
  </si>
  <si>
    <t>от 410 до 427 Р</t>
  </si>
  <si>
    <t>от 405 до 427 Р</t>
  </si>
  <si>
    <t>от 400 до 427 Р</t>
  </si>
  <si>
    <t>от 370 до 427 Р</t>
  </si>
  <si>
    <t>от 365 до 385 Р</t>
  </si>
  <si>
    <t>370/ 520 р</t>
  </si>
  <si>
    <t>от 353 до  Р</t>
  </si>
  <si>
    <t>360/ 480 р</t>
  </si>
  <si>
    <t>ЭКСПЕРТ КАБЕЛЬ//МТХ</t>
  </si>
  <si>
    <t>ГАЛАКТИКА /МЕТАЛЛСЕРВИС/НТМЦ</t>
  </si>
  <si>
    <t>от 360  до 372</t>
  </si>
  <si>
    <t>ГАЛАКТИКА /ГЕФЕСТ,АЛЬФА-МЕТАЛЛ</t>
  </si>
  <si>
    <t>420-444 Р</t>
  </si>
  <si>
    <t>1190-1198-1240</t>
  </si>
  <si>
    <t>от 96</t>
  </si>
  <si>
    <t>от 92,5</t>
  </si>
  <si>
    <t>1190-1198-1230</t>
  </si>
  <si>
    <t>1190-1198-1231</t>
  </si>
  <si>
    <t>от 360  до 373</t>
  </si>
  <si>
    <t>от 92,6</t>
  </si>
  <si>
    <t>370-414</t>
  </si>
  <si>
    <t>375/ 480 р</t>
  </si>
  <si>
    <t>462/452 руб</t>
  </si>
  <si>
    <t>459/ 466</t>
  </si>
  <si>
    <t>от 92,0</t>
  </si>
  <si>
    <t>1230-1280</t>
  </si>
  <si>
    <t>456-493 р</t>
  </si>
  <si>
    <t>410/ 520 р</t>
  </si>
  <si>
    <t>515-530 р</t>
  </si>
  <si>
    <t>480/ 575 р</t>
  </si>
  <si>
    <t>430-460</t>
  </si>
  <si>
    <t>1350 - 1400</t>
  </si>
  <si>
    <t>1300 - 1400</t>
  </si>
  <si>
    <t>415-430</t>
  </si>
  <si>
    <t>Лист алюминиевый А5м   10 мм</t>
  </si>
  <si>
    <t>Лист алюминиевый А5м 2,3,5 мм</t>
  </si>
  <si>
    <t>ХИМСЫРЬЕ</t>
  </si>
  <si>
    <t>561-577 р</t>
  </si>
  <si>
    <t>545/ 775 р</t>
  </si>
  <si>
    <t>Ед. изм</t>
  </si>
  <si>
    <t>кг</t>
  </si>
  <si>
    <t>шт</t>
  </si>
  <si>
    <t>Krishka-mal-4</t>
  </si>
  <si>
    <t>Okno-mal-4-3.5</t>
  </si>
  <si>
    <t>Krishka-bol-4</t>
  </si>
  <si>
    <t>Okno-bol-4-3.0</t>
  </si>
  <si>
    <t>Okno-bol-4-3.5</t>
  </si>
  <si>
    <t>Plate-2-3 мал</t>
  </si>
  <si>
    <t>Plate-1-3 больш</t>
  </si>
  <si>
    <t>Colodka-3-4</t>
  </si>
  <si>
    <t>Colodka-3.5-4</t>
  </si>
  <si>
    <t>KLM6</t>
  </si>
  <si>
    <t>Krishka-mal-4-5</t>
  </si>
  <si>
    <t>Okno-mal-4-2-.5</t>
  </si>
  <si>
    <t>Okno-mal-4-3.5-5</t>
  </si>
  <si>
    <t>Krishka-bol-4-5</t>
  </si>
  <si>
    <t>Okno-bol-4-2-5</t>
  </si>
  <si>
    <t>Okno-bol-4-3.5-5</t>
  </si>
  <si>
    <t>044.000.001 pl</t>
  </si>
  <si>
    <t>082.000.001 pl</t>
  </si>
  <si>
    <t>080.000.001 pl</t>
  </si>
  <si>
    <t>081.000.001 pl</t>
  </si>
  <si>
    <t>074.000.001 pl</t>
  </si>
  <si>
    <t>078.000.000 pl</t>
  </si>
  <si>
    <t>079.000.001 pl</t>
  </si>
  <si>
    <t>044.000.008 pl</t>
  </si>
  <si>
    <t>044.000.009 pl</t>
  </si>
  <si>
    <t>135.001.003</t>
  </si>
  <si>
    <t>1S.06A.G.01</t>
  </si>
  <si>
    <t>1S.08A.G.01</t>
  </si>
  <si>
    <t>1S.10A.G.01</t>
  </si>
  <si>
    <t>1S.12A.G.01</t>
  </si>
  <si>
    <t>1S.16A.G.01</t>
  </si>
  <si>
    <t>1S.20A.G.01</t>
  </si>
  <si>
    <t>1S.40A.G.01</t>
  </si>
  <si>
    <t>1S.25A.G.01</t>
  </si>
  <si>
    <t>1S.32A.G.01</t>
  </si>
  <si>
    <t xml:space="preserve"> И З О Л Я Т О Р Ы : </t>
  </si>
  <si>
    <t>ТЕХНОПЛАСТ 33</t>
  </si>
  <si>
    <t>1301 - 1400</t>
  </si>
  <si>
    <t xml:space="preserve">лента медная </t>
  </si>
  <si>
    <t>Лента алюминиевая</t>
  </si>
  <si>
    <t>ТОНАЛ ( УМТК )</t>
  </si>
  <si>
    <t>Лист алюминиевый А5м ( АД0 )   6 , 7 мм</t>
  </si>
  <si>
    <t xml:space="preserve">АЛЬФА МЕТАЛЛ </t>
  </si>
  <si>
    <t>1350 - 1500</t>
  </si>
  <si>
    <t>БК АЛПРОФ / АЛКЕННИ / МТХ</t>
  </si>
  <si>
    <t>440 - 460</t>
  </si>
  <si>
    <t>490 / 610</t>
  </si>
  <si>
    <t>РЕЕСТР ПРОФИЛЕЙ _ _ IP55</t>
  </si>
  <si>
    <t>РЕЕСТР ПРОФИЛЕЙ _ _ IP68</t>
  </si>
  <si>
    <t>№</t>
  </si>
  <si>
    <t>Шифр профиля</t>
  </si>
  <si>
    <r>
      <t xml:space="preserve">Теор. масса 
</t>
    </r>
    <r>
      <rPr>
        <b/>
        <sz val="12"/>
        <rFont val="Arial"/>
        <family val="2"/>
        <charset val="204"/>
      </rPr>
      <t>1 п.м. в кг</t>
    </r>
  </si>
  <si>
    <t>цена пог.м.
с НДС</t>
  </si>
  <si>
    <t>цена c НДС покраски  КГ</t>
  </si>
  <si>
    <t>цена пог.м..
с НДС</t>
  </si>
  <si>
    <t>АП 3961(7х80)</t>
  </si>
  <si>
    <t>АП 4225 
(68. 140х100 4Р)</t>
  </si>
  <si>
    <t>АП 3989(130х7 с пустотами)</t>
  </si>
  <si>
    <t>АП 4226 
(68. 140х130 4Р)</t>
  </si>
  <si>
    <t>АП 3988 (100х7с пустотами)</t>
  </si>
  <si>
    <t>АП 4224 
(68. 140х75 5Р)</t>
  </si>
  <si>
    <t>АП 3987 (80х7 с пустотами)</t>
  </si>
  <si>
    <r>
      <t xml:space="preserve">АП 4178 
</t>
    </r>
    <r>
      <rPr>
        <b/>
        <sz val="12"/>
        <rFont val="Tahoma"/>
        <family val="2"/>
        <charset val="204"/>
      </rPr>
      <t>(</t>
    </r>
    <r>
      <rPr>
        <sz val="12"/>
        <rFont val="Tahoma"/>
        <family val="2"/>
        <charset val="204"/>
      </rPr>
      <t>68. крышка 140)</t>
    </r>
  </si>
  <si>
    <t>МТ-14-1924-25</t>
  </si>
  <si>
    <t>АП 4072 (140х65 4Р)</t>
  </si>
  <si>
    <t>АП 4177 
(68. крышка 180)</t>
  </si>
  <si>
    <t>МТ-11-5501</t>
  </si>
  <si>
    <t>АП 4073 (140х65 5Р)</t>
  </si>
  <si>
    <t>АП 4174 
(68. 180х100 5Р)</t>
  </si>
  <si>
    <t>АП 3990 (180х100 4Р)</t>
  </si>
  <si>
    <t>АП 4167 
(68. 140х60 4Р)</t>
  </si>
  <si>
    <t>АП 3991  (180х100 5Р)</t>
  </si>
  <si>
    <t>АП 4168 
(68. 140х60 5Р)</t>
  </si>
  <si>
    <t>АП 3962 (140х80 5Р)</t>
  </si>
  <si>
    <t>АП 4171 
(68. 140х65 5Р)</t>
  </si>
  <si>
    <t>АП 3974 (140х60 PI 5P)</t>
  </si>
  <si>
    <t>АП 4172 
(68. 140х65 4Р)</t>
  </si>
  <si>
    <t>АП 3994 (140х60 PI 4P)</t>
  </si>
  <si>
    <t>АП 4173 
(68. 180х100 4Р)</t>
  </si>
  <si>
    <t>АП 3972 (115х60 4Р)</t>
  </si>
  <si>
    <t>АП 4228 
(68. 140х100 5Р)</t>
  </si>
  <si>
    <t>АП 3958 (140х100 5Р)</t>
  </si>
  <si>
    <t>АП 4227 
(68. 140х130 5Р)</t>
  </si>
  <si>
    <t>АП 3960 (115х60 5Р)</t>
  </si>
  <si>
    <t>АП 3959 (140х130 5Р)</t>
  </si>
  <si>
    <t>АП 3975 (140х80 4Р)</t>
  </si>
  <si>
    <t>АП 3993 (180х130 5Р)</t>
  </si>
  <si>
    <t>АП 3992 (180х130 4Р)</t>
  </si>
  <si>
    <t>АП 3854 (68.140х75 4Р)</t>
  </si>
  <si>
    <t>АП 3868 
(вставка)</t>
  </si>
  <si>
    <t>МТ-11-5505</t>
  </si>
  <si>
    <t>АП 3869 
(ухо)</t>
  </si>
  <si>
    <t>МТ-11-5515</t>
  </si>
  <si>
    <t>АП 3871 
(пластина стыка, шайба 60)</t>
  </si>
  <si>
    <t>МТ-11-5504</t>
  </si>
  <si>
    <t>АП 3828 (140х130 4Р)</t>
  </si>
  <si>
    <t>АП 3829 (140х100 4Р)</t>
  </si>
  <si>
    <t>АП 5020 боковина 50</t>
  </si>
  <si>
    <t>МТ-14-1924-21</t>
  </si>
  <si>
    <r>
      <t xml:space="preserve">Теор. масса 
</t>
    </r>
    <r>
      <rPr>
        <b/>
        <sz val="12"/>
        <rFont val="Tahoma"/>
        <family val="2"/>
        <charset val="204"/>
      </rPr>
      <t>1 п.м. в кг</t>
    </r>
  </si>
  <si>
    <t>АП 5285 боковина 60</t>
  </si>
  <si>
    <t>АП 5021 боковина 65</t>
  </si>
  <si>
    <t>МТ-11-5502</t>
  </si>
  <si>
    <t>АП 5307 боковина 75</t>
  </si>
  <si>
    <t>МТ-14-1924-22</t>
  </si>
  <si>
    <t>АП 2586 боковина 80</t>
  </si>
  <si>
    <t>АП 4976 боковина 100</t>
  </si>
  <si>
    <t>МТ-11-5506</t>
  </si>
  <si>
    <t>АП 4997 боковина 130</t>
  </si>
  <si>
    <t>МТ-11-5507</t>
  </si>
  <si>
    <t>АП 4996 боковина 160
( полукорпус )</t>
  </si>
  <si>
    <t>МТ-11-5508</t>
  </si>
  <si>
    <t>АП 4977 боковина 200</t>
  </si>
  <si>
    <t>МТ-14-1924-23</t>
  </si>
  <si>
    <t>АП 4951 пластина стыка 
(шайба 76) гайка</t>
  </si>
  <si>
    <t>АП 4954 пластина стыка 
(шайба 76) болт</t>
  </si>
  <si>
    <t>АП 4975 крышка стыка 145</t>
  </si>
  <si>
    <t>МТ-14-1924-24</t>
  </si>
  <si>
    <t>Шина АД0  3,5*70</t>
  </si>
  <si>
    <t>АП 4998 крышка стыка 185</t>
  </si>
  <si>
    <t>МТ-11-5509</t>
  </si>
  <si>
    <t>Шина АД0  6,0*130</t>
  </si>
  <si>
    <t>АП 5611 крышка 63А</t>
  </si>
  <si>
    <t>Шина АД0  6,0*160</t>
  </si>
  <si>
    <t>АП 5612 П-профиль секции 63А</t>
  </si>
  <si>
    <t>Шина АД0  6,0*200</t>
  </si>
  <si>
    <t>АП 5613 корпус коробки 63А</t>
  </si>
  <si>
    <t>Шина АД0  7,0*130</t>
  </si>
  <si>
    <t>АП 5614 профиль под контактную группу коробки 63А</t>
  </si>
  <si>
    <t>Шина АД0  7,0*160</t>
  </si>
  <si>
    <t>АП 5785 пластина стыка (гайка)</t>
  </si>
  <si>
    <t>100мм</t>
  </si>
  <si>
    <t>Шина АД0  7,0*200</t>
  </si>
  <si>
    <t>АП 5786 пластина стыка (болт)</t>
  </si>
  <si>
    <t>цена за 1 кг 
ШИНА</t>
  </si>
  <si>
    <t>АП 6094 шина стыка ( 3*80 )</t>
  </si>
  <si>
    <t>RAL 7035 Шагрень</t>
  </si>
  <si>
    <t>шина стыка распреда ( 3*85 )</t>
  </si>
  <si>
    <t>МТ-30-0358</t>
  </si>
  <si>
    <t>цена за 1 кг
ПРОФИЛЬ</t>
  </si>
  <si>
    <t>Пленка ПЭТ 250 мкм</t>
  </si>
  <si>
    <t>Лист стальной оцинкованный 1,5мм</t>
  </si>
  <si>
    <r>
      <t xml:space="preserve">Шина </t>
    </r>
    <r>
      <rPr>
        <b/>
        <sz val="12"/>
        <color rgb="FF000000"/>
        <rFont val="Tahoma"/>
        <family val="2"/>
        <charset val="204"/>
      </rPr>
      <t>М1</t>
    </r>
    <r>
      <rPr>
        <sz val="12"/>
        <color rgb="FF000000"/>
        <rFont val="Tahoma"/>
        <family val="2"/>
        <charset val="204"/>
      </rPr>
      <t>Т 6,0*130</t>
    </r>
  </si>
  <si>
    <r>
      <t xml:space="preserve">Шина </t>
    </r>
    <r>
      <rPr>
        <b/>
        <sz val="12"/>
        <color rgb="FF000000"/>
        <rFont val="Tahoma"/>
        <family val="2"/>
        <charset val="204"/>
      </rPr>
      <t>М1</t>
    </r>
    <r>
      <rPr>
        <sz val="12"/>
        <color rgb="FF000000"/>
        <rFont val="Tahoma"/>
        <family val="2"/>
        <charset val="204"/>
      </rPr>
      <t>Т 3,5*70</t>
    </r>
  </si>
  <si>
    <r>
      <t xml:space="preserve">Шина </t>
    </r>
    <r>
      <rPr>
        <b/>
        <sz val="12"/>
        <color rgb="FF000000"/>
        <rFont val="Tahoma"/>
        <family val="2"/>
        <charset val="204"/>
      </rPr>
      <t>М1</t>
    </r>
    <r>
      <rPr>
        <sz val="12"/>
        <color rgb="FF000000"/>
        <rFont val="Tahoma"/>
        <family val="2"/>
        <charset val="204"/>
      </rPr>
      <t>Т 6,0*160</t>
    </r>
  </si>
  <si>
    <r>
      <t xml:space="preserve">Шина </t>
    </r>
    <r>
      <rPr>
        <b/>
        <sz val="12"/>
        <color rgb="FF000000"/>
        <rFont val="Tahoma"/>
        <family val="2"/>
        <charset val="204"/>
      </rPr>
      <t>М1</t>
    </r>
    <r>
      <rPr>
        <sz val="12"/>
        <color rgb="FF000000"/>
        <rFont val="Tahoma"/>
        <family val="2"/>
        <charset val="204"/>
      </rPr>
      <t>Т 6,0*200</t>
    </r>
  </si>
  <si>
    <r>
      <t xml:space="preserve">Шина </t>
    </r>
    <r>
      <rPr>
        <b/>
        <sz val="12"/>
        <color rgb="FF000000"/>
        <rFont val="Tahoma"/>
        <family val="2"/>
        <charset val="204"/>
      </rPr>
      <t>М1</t>
    </r>
    <r>
      <rPr>
        <sz val="12"/>
        <color rgb="FF000000"/>
        <rFont val="Tahoma"/>
        <family val="2"/>
        <charset val="204"/>
      </rPr>
      <t>Т 7,0*130</t>
    </r>
  </si>
  <si>
    <r>
      <t xml:space="preserve">Шина </t>
    </r>
    <r>
      <rPr>
        <b/>
        <sz val="12"/>
        <color rgb="FF000000"/>
        <rFont val="Tahoma"/>
        <family val="2"/>
        <charset val="204"/>
      </rPr>
      <t>М1</t>
    </r>
    <r>
      <rPr>
        <sz val="12"/>
        <color rgb="FF000000"/>
        <rFont val="Tahoma"/>
        <family val="2"/>
        <charset val="204"/>
      </rPr>
      <t>Т 7,0*160</t>
    </r>
  </si>
  <si>
    <r>
      <t xml:space="preserve">Шина </t>
    </r>
    <r>
      <rPr>
        <b/>
        <sz val="12"/>
        <color rgb="FF000000"/>
        <rFont val="Tahoma"/>
        <family val="2"/>
        <charset val="204"/>
      </rPr>
      <t>М1</t>
    </r>
    <r>
      <rPr>
        <sz val="12"/>
        <color rgb="FF000000"/>
        <rFont val="Tahoma"/>
        <family val="2"/>
        <charset val="204"/>
      </rPr>
      <t>Т 7,0*200</t>
    </r>
  </si>
  <si>
    <t>1400 - 1550</t>
  </si>
  <si>
    <t>445 - 465</t>
  </si>
  <si>
    <t>496 / 616</t>
  </si>
  <si>
    <t>ГАЛАКТИКА</t>
  </si>
  <si>
    <t>1500 - 1620</t>
  </si>
  <si>
    <t>СТРЕНГА медная</t>
  </si>
  <si>
    <t>1230-1281</t>
  </si>
  <si>
    <t>1351 - 1500</t>
  </si>
  <si>
    <t>1401 - 1550</t>
  </si>
  <si>
    <t>ШИНА медная 
до 200мм</t>
  </si>
  <si>
    <t>ШИНА медная 
до 130мм</t>
  </si>
  <si>
    <t>БК АЛПРОФ 
без покраски</t>
  </si>
  <si>
    <t>БК АЛПРОФ 
с покраской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</si>
</sst>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4" formatCode="_-* #,##0.00\ &quot;₽&quot;_-;\-* #,##0.00\ &quot;₽&quot;_-;_-* &quot;-&quot;??\ &quot;₽&quot;_-;_-@_-"/>
    <numFmt numFmtId="164" formatCode="dd/mm/yy;@"/>
    <numFmt numFmtId="165" formatCode="#,##0.00_ ;[Red]\-#,##0.00\ "/>
    <numFmt numFmtId="166" formatCode="###0;###0"/>
  </numFmts>
  <fonts count="34" x14ac:knownFonts="1"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b/>
      <sz val="11"/>
      <color theme="1"/>
      <name val="Calibri"/>
      <family val="2"/>
      <charset val="204"/>
      <scheme val="minor"/>
    </font>
    <font>
      <b/>
      <sz val="24"/>
      <color theme="1"/>
      <name val="Calibri"/>
      <family val="2"/>
      <charset val="204"/>
      <scheme val="minor"/>
    </font>
    <font>
      <b/>
      <sz val="20"/>
      <color theme="1"/>
      <name val="Calibri"/>
      <family val="2"/>
      <charset val="204"/>
      <scheme val="minor"/>
    </font>
    <font>
      <b/>
      <sz val="12"/>
      <name val="Times New Roman"/>
      <family val="1"/>
      <charset val="204"/>
    </font>
    <font>
      <b/>
      <sz val="16"/>
      <color theme="1"/>
      <name val="Calibri"/>
      <family val="2"/>
      <charset val="204"/>
      <scheme val="minor"/>
    </font>
    <font>
      <b/>
      <sz val="22"/>
      <color theme="1"/>
      <name val="Calibri"/>
      <family val="2"/>
      <charset val="204"/>
      <scheme val="minor"/>
    </font>
    <font>
      <b/>
      <sz val="14"/>
      <color theme="1"/>
      <name val="Calibri"/>
      <family val="2"/>
      <charset val="204"/>
      <scheme val="minor"/>
    </font>
    <font>
      <b/>
      <sz val="16"/>
      <color theme="1"/>
      <name val="Arial"/>
      <family val="2"/>
      <charset val="204"/>
    </font>
    <font>
      <b/>
      <sz val="18"/>
      <color theme="1"/>
      <name val="Calibri"/>
      <family val="2"/>
      <charset val="204"/>
      <scheme val="minor"/>
    </font>
    <font>
      <sz val="8"/>
      <name val="Calibri"/>
      <family val="2"/>
      <charset val="204"/>
      <scheme val="minor"/>
    </font>
    <font>
      <sz val="12"/>
      <color theme="1"/>
      <name val="Times New Roman"/>
      <family val="1"/>
      <charset val="204"/>
    </font>
    <font>
      <b/>
      <i/>
      <sz val="16"/>
      <color theme="1"/>
      <name val="Calibri"/>
      <family val="2"/>
      <charset val="204"/>
      <scheme val="minor"/>
    </font>
    <font>
      <sz val="12"/>
      <name val="Tahoma"/>
      <family val="2"/>
      <charset val="204"/>
    </font>
    <font>
      <sz val="10"/>
      <color rgb="FF000000"/>
      <name val="Tahoma"/>
      <family val="2"/>
      <charset val="204"/>
    </font>
    <font>
      <sz val="12"/>
      <color rgb="FF000000"/>
      <name val="Tahoma"/>
      <family val="2"/>
      <charset val="204"/>
    </font>
    <font>
      <sz val="11"/>
      <name val="Arial"/>
      <family val="2"/>
      <charset val="204"/>
    </font>
    <font>
      <b/>
      <sz val="12"/>
      <name val="Arial"/>
      <family val="2"/>
      <charset val="204"/>
    </font>
    <font>
      <sz val="12"/>
      <color rgb="FF000000"/>
      <name val="Arial"/>
      <family val="2"/>
      <charset val="204"/>
    </font>
    <font>
      <sz val="9"/>
      <name val="Arial"/>
      <family val="2"/>
      <charset val="204"/>
    </font>
    <font>
      <sz val="8"/>
      <name val="Arial"/>
      <family val="2"/>
      <charset val="204"/>
    </font>
    <font>
      <sz val="14"/>
      <name val="Arial"/>
      <family val="2"/>
      <charset val="204"/>
    </font>
    <font>
      <sz val="14"/>
      <color rgb="FF000000"/>
      <name val="Arial"/>
      <family val="2"/>
      <charset val="204"/>
    </font>
    <font>
      <sz val="14"/>
      <name val="Tahoma"/>
      <family val="2"/>
      <charset val="204"/>
    </font>
    <font>
      <b/>
      <sz val="12"/>
      <name val="Tahoma"/>
      <family val="2"/>
      <charset val="204"/>
    </font>
    <font>
      <sz val="10"/>
      <name val="Arial"/>
      <family val="2"/>
      <charset val="204"/>
    </font>
    <font>
      <sz val="14"/>
      <color rgb="FF000000"/>
      <name val="Tahoma"/>
      <family val="2"/>
      <charset val="204"/>
    </font>
    <font>
      <sz val="11"/>
      <name val="Tahoma"/>
      <family val="2"/>
      <charset val="204"/>
    </font>
    <font>
      <b/>
      <sz val="14"/>
      <color rgb="FF000000"/>
      <name val="Arial"/>
      <family val="2"/>
      <charset val="204"/>
    </font>
    <font>
      <b/>
      <sz val="12"/>
      <color rgb="FF000000"/>
      <name val="Tahoma"/>
      <family val="2"/>
      <charset val="204"/>
    </font>
    <font>
      <b/>
      <sz val="16"/>
      <color rgb="FFFF0000"/>
      <name val="Calibri"/>
      <family val="2"/>
      <charset val="204"/>
      <scheme val="minor"/>
    </font>
    <font>
      <b/>
      <sz val="14"/>
      <name val="Calibri"/>
      <family val="2"/>
      <charset val="204"/>
      <scheme val="minor"/>
    </font>
    <font>
      <sz val="11"/>
      <name val="Calibri"/>
      <family val="2"/>
      <charset val="204"/>
      <scheme val="minor"/>
    </font>
  </fonts>
  <fills count="24">
    <fill>
      <patternFill patternType="none"/>
    </fill>
    <fill>
      <patternFill patternType="gray125"/>
    </fill>
    <fill>
      <patternFill patternType="solid">
        <fgColor rgb="FFF1EFF5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rgb="FFFFFF99"/>
        <bgColor indexed="64"/>
      </patternFill>
    </fill>
    <fill>
      <patternFill patternType="solid">
        <fgColor rgb="FFCCFFFF"/>
        <bgColor indexed="64"/>
      </patternFill>
    </fill>
    <fill>
      <patternFill patternType="solid">
        <fgColor rgb="FFFFCCFF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3" tint="0.59999389629810485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0" tint="-0.14996795556505021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rgb="FF92D050"/>
        <bgColor indexed="64"/>
      </patternFill>
    </fill>
  </fills>
  <borders count="67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/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/>
      <right style="thin">
        <color indexed="64"/>
      </right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 style="medium">
        <color indexed="64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auto="1"/>
      </left>
      <right/>
      <top/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/>
      <diagonal/>
    </border>
    <border>
      <left/>
      <right style="thin">
        <color rgb="FF000000"/>
      </right>
      <top/>
      <bottom/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auto="1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 style="thin">
        <color auto="1"/>
      </top>
      <bottom style="thin">
        <color auto="1"/>
      </bottom>
      <diagonal/>
    </border>
    <border>
      <left/>
      <right style="medium">
        <color indexed="64"/>
      </right>
      <top style="medium">
        <color indexed="64"/>
      </top>
      <bottom style="thin">
        <color auto="1"/>
      </bottom>
      <diagonal/>
    </border>
    <border>
      <left/>
      <right style="medium">
        <color indexed="64"/>
      </right>
      <top style="thin">
        <color auto="1"/>
      </top>
      <bottom style="thin">
        <color indexed="64"/>
      </bottom>
      <diagonal/>
    </border>
    <border>
      <left/>
      <right style="medium">
        <color indexed="64"/>
      </right>
      <top style="thin">
        <color auto="1"/>
      </top>
      <bottom style="medium">
        <color indexed="64"/>
      </bottom>
      <diagonal/>
    </border>
    <border>
      <left/>
      <right style="thin">
        <color auto="1"/>
      </right>
      <top style="medium">
        <color indexed="64"/>
      </top>
      <bottom style="thin">
        <color auto="1"/>
      </bottom>
      <diagonal/>
    </border>
    <border>
      <left style="thin">
        <color auto="1"/>
      </left>
      <right/>
      <top style="medium">
        <color indexed="64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auto="1"/>
      </top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thin">
        <color auto="1"/>
      </left>
      <right/>
      <top/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</borders>
  <cellStyleXfs count="3">
    <xf numFmtId="0" fontId="0" fillId="0" borderId="0"/>
    <xf numFmtId="44" fontId="1" fillId="0" borderId="0" applyFont="0" applyFill="0" applyBorder="0" applyAlignment="0" applyProtection="0"/>
    <xf numFmtId="9" fontId="1" fillId="0" borderId="0" applyFont="0" applyFill="0" applyBorder="0" applyAlignment="0" applyProtection="0"/>
  </cellStyleXfs>
  <cellXfs count="381">
    <xf numFmtId="0" fontId="0" fillId="0" borderId="0" xfId="0"/>
    <xf numFmtId="0" fontId="0" fillId="0" borderId="0" xfId="0" applyAlignment="1">
      <alignment horizontal="center" vertical="center"/>
    </xf>
    <xf numFmtId="0" fontId="2" fillId="0" borderId="4" xfId="0" applyFont="1" applyBorder="1" applyAlignment="1">
      <alignment horizontal="center" vertical="center" wrapText="1"/>
    </xf>
    <xf numFmtId="0" fontId="4" fillId="2" borderId="6" xfId="0" applyFont="1" applyFill="1" applyBorder="1" applyAlignment="1">
      <alignment horizontal="center" vertical="center" wrapText="1"/>
    </xf>
    <xf numFmtId="0" fontId="5" fillId="3" borderId="5" xfId="0" applyFont="1" applyFill="1" applyBorder="1" applyAlignment="1">
      <alignment horizontal="center" vertical="center" wrapText="1"/>
    </xf>
    <xf numFmtId="0" fontId="5" fillId="3" borderId="7" xfId="0" applyFont="1" applyFill="1" applyBorder="1" applyAlignment="1">
      <alignment horizontal="center" vertical="center" wrapText="1"/>
    </xf>
    <xf numFmtId="0" fontId="5" fillId="4" borderId="8" xfId="0" applyFont="1" applyFill="1" applyBorder="1" applyAlignment="1">
      <alignment horizontal="center" vertical="center" wrapText="1"/>
    </xf>
    <xf numFmtId="0" fontId="5" fillId="4" borderId="9" xfId="0" applyFont="1" applyFill="1" applyBorder="1" applyAlignment="1">
      <alignment horizontal="center" vertical="center" wrapText="1"/>
    </xf>
    <xf numFmtId="0" fontId="2" fillId="0" borderId="10" xfId="0" applyFont="1" applyBorder="1" applyAlignment="1">
      <alignment horizontal="center" vertical="center" wrapText="1"/>
    </xf>
    <xf numFmtId="0" fontId="7" fillId="5" borderId="11" xfId="0" applyFont="1" applyFill="1" applyBorder="1" applyAlignment="1">
      <alignment horizontal="center" vertical="center" wrapText="1"/>
    </xf>
    <xf numFmtId="0" fontId="0" fillId="0" borderId="12" xfId="0" applyBorder="1" applyAlignment="1">
      <alignment vertical="center" wrapText="1"/>
    </xf>
    <xf numFmtId="0" fontId="0" fillId="0" borderId="11" xfId="0" applyBorder="1" applyAlignment="1">
      <alignment vertical="center" wrapText="1"/>
    </xf>
    <xf numFmtId="0" fontId="0" fillId="0" borderId="11" xfId="0" applyBorder="1" applyAlignment="1">
      <alignment horizontal="center" vertical="center"/>
    </xf>
    <xf numFmtId="0" fontId="7" fillId="6" borderId="11" xfId="0" applyFont="1" applyFill="1" applyBorder="1" applyAlignment="1">
      <alignment horizontal="center" vertical="center"/>
    </xf>
    <xf numFmtId="0" fontId="7" fillId="0" borderId="12" xfId="0" applyFont="1" applyBorder="1" applyAlignment="1">
      <alignment horizontal="center" vertical="center"/>
    </xf>
    <xf numFmtId="0" fontId="7" fillId="6" borderId="13" xfId="0" applyFont="1" applyFill="1" applyBorder="1" applyAlignment="1">
      <alignment horizontal="center" vertical="center" wrapText="1"/>
    </xf>
    <xf numFmtId="0" fontId="7" fillId="6" borderId="11" xfId="0" applyFont="1" applyFill="1" applyBorder="1" applyAlignment="1">
      <alignment horizontal="center" vertical="center" wrapText="1"/>
    </xf>
    <xf numFmtId="0" fontId="0" fillId="0" borderId="12" xfId="0" applyBorder="1" applyAlignment="1">
      <alignment horizontal="center" vertical="center" wrapText="1"/>
    </xf>
    <xf numFmtId="0" fontId="2" fillId="0" borderId="14" xfId="0" applyFont="1" applyBorder="1" applyAlignment="1">
      <alignment horizontal="center" vertical="center" wrapText="1"/>
    </xf>
    <xf numFmtId="0" fontId="7" fillId="7" borderId="15" xfId="0" applyFont="1" applyFill="1" applyBorder="1" applyAlignment="1">
      <alignment horizontal="center" vertical="center"/>
    </xf>
    <xf numFmtId="0" fontId="7" fillId="7" borderId="16" xfId="0" applyFont="1" applyFill="1" applyBorder="1" applyAlignment="1">
      <alignment horizontal="center" vertical="center"/>
    </xf>
    <xf numFmtId="0" fontId="7" fillId="7" borderId="17" xfId="0" applyFont="1" applyFill="1" applyBorder="1" applyAlignment="1">
      <alignment horizontal="center" vertical="center" wrapText="1"/>
    </xf>
    <xf numFmtId="0" fontId="7" fillId="7" borderId="15" xfId="0" applyFont="1" applyFill="1" applyBorder="1" applyAlignment="1">
      <alignment horizontal="center" vertical="center" wrapText="1"/>
    </xf>
    <xf numFmtId="0" fontId="7" fillId="7" borderId="16" xfId="0" applyFont="1" applyFill="1" applyBorder="1" applyAlignment="1">
      <alignment horizontal="center" vertical="center" wrapText="1"/>
    </xf>
    <xf numFmtId="0" fontId="3" fillId="0" borderId="0" xfId="0" applyFont="1" applyAlignment="1">
      <alignment horizontal="left"/>
    </xf>
    <xf numFmtId="0" fontId="4" fillId="2" borderId="5" xfId="0" applyFont="1" applyFill="1" applyBorder="1" applyAlignment="1">
      <alignment horizontal="left" vertical="center" wrapText="1"/>
    </xf>
    <xf numFmtId="0" fontId="6" fillId="5" borderId="11" xfId="0" applyFont="1" applyFill="1" applyBorder="1" applyAlignment="1">
      <alignment horizontal="left" vertical="center" wrapText="1"/>
    </xf>
    <xf numFmtId="0" fontId="6" fillId="6" borderId="11" xfId="0" applyFont="1" applyFill="1" applyBorder="1" applyAlignment="1">
      <alignment horizontal="left" vertical="center" wrapText="1"/>
    </xf>
    <xf numFmtId="0" fontId="6" fillId="7" borderId="15" xfId="0" applyFont="1" applyFill="1" applyBorder="1" applyAlignment="1">
      <alignment horizontal="left" vertical="center" wrapText="1"/>
    </xf>
    <xf numFmtId="0" fontId="0" fillId="0" borderId="0" xfId="0" applyAlignment="1">
      <alignment horizontal="left"/>
    </xf>
    <xf numFmtId="0" fontId="7" fillId="5" borderId="13" xfId="0" applyFont="1" applyFill="1" applyBorder="1" applyAlignment="1">
      <alignment horizontal="center" vertical="center" wrapText="1"/>
    </xf>
    <xf numFmtId="0" fontId="4" fillId="2" borderId="1" xfId="0" applyFont="1" applyFill="1" applyBorder="1" applyAlignment="1">
      <alignment vertical="center" wrapText="1"/>
    </xf>
    <xf numFmtId="0" fontId="4" fillId="2" borderId="2" xfId="0" applyFont="1" applyFill="1" applyBorder="1" applyAlignment="1">
      <alignment vertical="center" wrapText="1"/>
    </xf>
    <xf numFmtId="0" fontId="4" fillId="2" borderId="3" xfId="0" applyFont="1" applyFill="1" applyBorder="1" applyAlignment="1">
      <alignment vertical="center" wrapText="1"/>
    </xf>
    <xf numFmtId="0" fontId="6" fillId="8" borderId="11" xfId="0" applyFont="1" applyFill="1" applyBorder="1" applyAlignment="1">
      <alignment horizontal="left" vertical="center" wrapText="1"/>
    </xf>
    <xf numFmtId="16" fontId="4" fillId="2" borderId="2" xfId="0" applyNumberFormat="1" applyFont="1" applyFill="1" applyBorder="1" applyAlignment="1">
      <alignment vertical="center" wrapText="1"/>
    </xf>
    <xf numFmtId="44" fontId="7" fillId="5" borderId="10" xfId="1" applyFont="1" applyFill="1" applyBorder="1" applyAlignment="1">
      <alignment horizontal="center" vertical="center" wrapText="1"/>
    </xf>
    <xf numFmtId="16" fontId="4" fillId="2" borderId="3" xfId="0" applyNumberFormat="1" applyFont="1" applyFill="1" applyBorder="1" applyAlignment="1">
      <alignment vertical="center" wrapText="1"/>
    </xf>
    <xf numFmtId="44" fontId="7" fillId="5" borderId="20" xfId="1" applyFont="1" applyFill="1" applyBorder="1" applyAlignment="1">
      <alignment horizontal="center" vertical="center" wrapText="1"/>
    </xf>
    <xf numFmtId="0" fontId="6" fillId="2" borderId="21" xfId="0" applyFont="1" applyFill="1" applyBorder="1" applyAlignment="1">
      <alignment horizontal="center" vertical="center" wrapText="1"/>
    </xf>
    <xf numFmtId="0" fontId="6" fillId="2" borderId="22" xfId="0" applyFont="1" applyFill="1" applyBorder="1" applyAlignment="1">
      <alignment horizontal="center" vertical="center" wrapText="1"/>
    </xf>
    <xf numFmtId="16" fontId="6" fillId="2" borderId="23" xfId="0" applyNumberFormat="1" applyFont="1" applyFill="1" applyBorder="1" applyAlignment="1">
      <alignment horizontal="center" vertical="center" wrapText="1"/>
    </xf>
    <xf numFmtId="0" fontId="6" fillId="9" borderId="18" xfId="0" applyFont="1" applyFill="1" applyBorder="1" applyAlignment="1">
      <alignment horizontal="left" vertical="center" wrapText="1"/>
    </xf>
    <xf numFmtId="0" fontId="6" fillId="10" borderId="11" xfId="0" applyFont="1" applyFill="1" applyBorder="1" applyAlignment="1">
      <alignment horizontal="left" vertical="center" wrapText="1"/>
    </xf>
    <xf numFmtId="0" fontId="6" fillId="11" borderId="11" xfId="0" applyFont="1" applyFill="1" applyBorder="1" applyAlignment="1">
      <alignment horizontal="left" vertical="center" wrapText="1"/>
    </xf>
    <xf numFmtId="0" fontId="6" fillId="9" borderId="24" xfId="0" applyFont="1" applyFill="1" applyBorder="1" applyAlignment="1">
      <alignment horizontal="left" vertical="center" wrapText="1"/>
    </xf>
    <xf numFmtId="0" fontId="6" fillId="9" borderId="25" xfId="0" applyFont="1" applyFill="1" applyBorder="1" applyAlignment="1">
      <alignment horizontal="left" vertical="center" wrapText="1"/>
    </xf>
    <xf numFmtId="0" fontId="6" fillId="11" borderId="18" xfId="0" applyFont="1" applyFill="1" applyBorder="1" applyAlignment="1">
      <alignment horizontal="left" vertical="center" wrapText="1"/>
    </xf>
    <xf numFmtId="0" fontId="6" fillId="12" borderId="24" xfId="0" applyFont="1" applyFill="1" applyBorder="1" applyAlignment="1">
      <alignment horizontal="left" vertical="center" wrapText="1"/>
    </xf>
    <xf numFmtId="0" fontId="6" fillId="12" borderId="25" xfId="0" applyFont="1" applyFill="1" applyBorder="1" applyAlignment="1">
      <alignment horizontal="left" vertical="center" wrapText="1"/>
    </xf>
    <xf numFmtId="0" fontId="6" fillId="12" borderId="11" xfId="0" applyFont="1" applyFill="1" applyBorder="1" applyAlignment="1">
      <alignment horizontal="left" vertical="center" wrapText="1"/>
    </xf>
    <xf numFmtId="44" fontId="7" fillId="5" borderId="11" xfId="1" applyFont="1" applyFill="1" applyBorder="1" applyAlignment="1">
      <alignment horizontal="center" vertical="center" wrapText="1"/>
    </xf>
    <xf numFmtId="0" fontId="6" fillId="12" borderId="15" xfId="0" applyFont="1" applyFill="1" applyBorder="1" applyAlignment="1">
      <alignment horizontal="left" vertical="center" wrapText="1"/>
    </xf>
    <xf numFmtId="0" fontId="6" fillId="9" borderId="11" xfId="0" applyFont="1" applyFill="1" applyBorder="1" applyAlignment="1">
      <alignment horizontal="left" vertical="center" wrapText="1"/>
    </xf>
    <xf numFmtId="16" fontId="6" fillId="2" borderId="30" xfId="0" applyNumberFormat="1" applyFont="1" applyFill="1" applyBorder="1" applyAlignment="1">
      <alignment horizontal="center" vertical="center" wrapText="1"/>
    </xf>
    <xf numFmtId="0" fontId="6" fillId="2" borderId="26" xfId="0" applyFont="1" applyFill="1" applyBorder="1" applyAlignment="1">
      <alignment horizontal="center" vertical="center" wrapText="1"/>
    </xf>
    <xf numFmtId="0" fontId="6" fillId="2" borderId="27" xfId="0" applyFont="1" applyFill="1" applyBorder="1" applyAlignment="1">
      <alignment horizontal="center" vertical="center" wrapText="1"/>
    </xf>
    <xf numFmtId="16" fontId="6" fillId="2" borderId="28" xfId="0" applyNumberFormat="1" applyFont="1" applyFill="1" applyBorder="1" applyAlignment="1">
      <alignment horizontal="center" vertical="center" wrapText="1"/>
    </xf>
    <xf numFmtId="16" fontId="4" fillId="2" borderId="9" xfId="0" applyNumberFormat="1" applyFont="1" applyFill="1" applyBorder="1" applyAlignment="1">
      <alignment vertical="center" wrapText="1"/>
    </xf>
    <xf numFmtId="44" fontId="7" fillId="0" borderId="11" xfId="1" applyFont="1" applyFill="1" applyBorder="1" applyAlignment="1">
      <alignment horizontal="center" vertical="center" wrapText="1"/>
    </xf>
    <xf numFmtId="44" fontId="7" fillId="0" borderId="29" xfId="1" applyFont="1" applyFill="1" applyBorder="1" applyAlignment="1">
      <alignment horizontal="center" vertical="center" wrapText="1"/>
    </xf>
    <xf numFmtId="16" fontId="6" fillId="0" borderId="12" xfId="0" applyNumberFormat="1" applyFont="1" applyFill="1" applyBorder="1" applyAlignment="1">
      <alignment horizontal="center" vertical="center" wrapText="1"/>
    </xf>
    <xf numFmtId="16" fontId="8" fillId="2" borderId="31" xfId="0" applyNumberFormat="1" applyFont="1" applyFill="1" applyBorder="1" applyAlignment="1">
      <alignment vertical="center" wrapText="1"/>
    </xf>
    <xf numFmtId="44" fontId="7" fillId="9" borderId="25" xfId="1" applyFont="1" applyFill="1" applyBorder="1" applyAlignment="1">
      <alignment horizontal="center" vertical="center" wrapText="1"/>
    </xf>
    <xf numFmtId="0" fontId="0" fillId="9" borderId="10" xfId="0" applyFill="1" applyBorder="1"/>
    <xf numFmtId="0" fontId="6" fillId="9" borderId="32" xfId="0" applyFont="1" applyFill="1" applyBorder="1" applyAlignment="1">
      <alignment horizontal="left" vertical="center" wrapText="1"/>
    </xf>
    <xf numFmtId="0" fontId="6" fillId="9" borderId="33" xfId="0" applyFont="1" applyFill="1" applyBorder="1" applyAlignment="1">
      <alignment horizontal="left" vertical="center" wrapText="1"/>
    </xf>
    <xf numFmtId="44" fontId="7" fillId="5" borderId="33" xfId="1" applyFont="1" applyFill="1" applyBorder="1" applyAlignment="1">
      <alignment horizontal="center" vertical="center" wrapText="1"/>
    </xf>
    <xf numFmtId="10" fontId="9" fillId="0" borderId="31" xfId="2" applyNumberFormat="1" applyFont="1" applyFill="1" applyBorder="1" applyAlignment="1">
      <alignment horizontal="right" vertical="center"/>
    </xf>
    <xf numFmtId="44" fontId="7" fillId="12" borderId="25" xfId="1" applyFont="1" applyFill="1" applyBorder="1" applyAlignment="1">
      <alignment horizontal="center" vertical="center" wrapText="1"/>
    </xf>
    <xf numFmtId="10" fontId="9" fillId="0" borderId="12" xfId="2" applyNumberFormat="1" applyFont="1" applyFill="1" applyBorder="1" applyAlignment="1">
      <alignment horizontal="right" vertical="center"/>
    </xf>
    <xf numFmtId="0" fontId="6" fillId="12" borderId="10" xfId="0" applyFont="1" applyFill="1" applyBorder="1" applyAlignment="1">
      <alignment horizontal="left" vertical="center" wrapText="1"/>
    </xf>
    <xf numFmtId="0" fontId="6" fillId="12" borderId="14" xfId="0" applyFont="1" applyFill="1" applyBorder="1" applyAlignment="1">
      <alignment horizontal="left" vertical="center" wrapText="1"/>
    </xf>
    <xf numFmtId="0" fontId="6" fillId="11" borderId="19" xfId="0" applyFont="1" applyFill="1" applyBorder="1" applyAlignment="1">
      <alignment horizontal="left" vertical="center" wrapText="1"/>
    </xf>
    <xf numFmtId="0" fontId="6" fillId="13" borderId="18" xfId="0" applyFont="1" applyFill="1" applyBorder="1" applyAlignment="1">
      <alignment horizontal="left" vertical="center" wrapText="1"/>
    </xf>
    <xf numFmtId="0" fontId="0" fillId="0" borderId="0" xfId="0" applyFont="1"/>
    <xf numFmtId="16" fontId="2" fillId="2" borderId="3" xfId="0" applyNumberFormat="1" applyFont="1" applyFill="1" applyBorder="1" applyAlignment="1">
      <alignment vertical="center" wrapText="1"/>
    </xf>
    <xf numFmtId="16" fontId="2" fillId="2" borderId="23" xfId="0" applyNumberFormat="1" applyFont="1" applyFill="1" applyBorder="1" applyAlignment="1">
      <alignment horizontal="center" vertical="center" wrapText="1"/>
    </xf>
    <xf numFmtId="44" fontId="2" fillId="5" borderId="20" xfId="1" applyFont="1" applyFill="1" applyBorder="1" applyAlignment="1">
      <alignment horizontal="center" vertical="center" wrapText="1"/>
    </xf>
    <xf numFmtId="44" fontId="2" fillId="5" borderId="10" xfId="1" applyFont="1" applyFill="1" applyBorder="1" applyAlignment="1">
      <alignment horizontal="center" vertical="center" wrapText="1"/>
    </xf>
    <xf numFmtId="0" fontId="6" fillId="9" borderId="18" xfId="0" applyFont="1" applyFill="1" applyBorder="1" applyAlignment="1">
      <alignment horizontal="left" vertical="center" wrapText="1" indent="1"/>
    </xf>
    <xf numFmtId="0" fontId="6" fillId="13" borderId="18" xfId="0" applyFont="1" applyFill="1" applyBorder="1" applyAlignment="1">
      <alignment horizontal="left" vertical="center" wrapText="1" indent="1"/>
    </xf>
    <xf numFmtId="0" fontId="6" fillId="10" borderId="11" xfId="0" applyFont="1" applyFill="1" applyBorder="1" applyAlignment="1">
      <alignment horizontal="left" vertical="center" wrapText="1" indent="1"/>
    </xf>
    <xf numFmtId="0" fontId="6" fillId="12" borderId="11" xfId="0" applyFont="1" applyFill="1" applyBorder="1" applyAlignment="1">
      <alignment horizontal="left" vertical="center" wrapText="1" indent="1"/>
    </xf>
    <xf numFmtId="0" fontId="6" fillId="11" borderId="11" xfId="0" applyFont="1" applyFill="1" applyBorder="1" applyAlignment="1">
      <alignment horizontal="left" vertical="center" wrapText="1" indent="1"/>
    </xf>
    <xf numFmtId="0" fontId="6" fillId="9" borderId="24" xfId="0" applyFont="1" applyFill="1" applyBorder="1" applyAlignment="1">
      <alignment horizontal="left" vertical="center" wrapText="1" indent="1"/>
    </xf>
    <xf numFmtId="0" fontId="6" fillId="9" borderId="25" xfId="0" applyFont="1" applyFill="1" applyBorder="1" applyAlignment="1">
      <alignment horizontal="left" vertical="center" wrapText="1" indent="1"/>
    </xf>
    <xf numFmtId="44" fontId="7" fillId="5" borderId="34" xfId="1" applyFont="1" applyFill="1" applyBorder="1" applyAlignment="1">
      <alignment horizontal="center" vertical="center" wrapText="1"/>
    </xf>
    <xf numFmtId="0" fontId="6" fillId="9" borderId="20" xfId="0" applyFont="1" applyFill="1" applyBorder="1" applyAlignment="1">
      <alignment horizontal="left" vertical="center" wrapText="1" indent="1"/>
    </xf>
    <xf numFmtId="44" fontId="7" fillId="5" borderId="35" xfId="1" applyFont="1" applyFill="1" applyBorder="1" applyAlignment="1">
      <alignment horizontal="center" vertical="center" wrapText="1"/>
    </xf>
    <xf numFmtId="0" fontId="6" fillId="13" borderId="20" xfId="0" applyFont="1" applyFill="1" applyBorder="1" applyAlignment="1">
      <alignment horizontal="left" vertical="center" wrapText="1" indent="1"/>
    </xf>
    <xf numFmtId="0" fontId="6" fillId="10" borderId="10" xfId="0" applyFont="1" applyFill="1" applyBorder="1" applyAlignment="1">
      <alignment horizontal="left" vertical="center" wrapText="1" indent="1"/>
    </xf>
    <xf numFmtId="44" fontId="7" fillId="5" borderId="36" xfId="1" applyFont="1" applyFill="1" applyBorder="1" applyAlignment="1">
      <alignment horizontal="center" vertical="center" wrapText="1"/>
    </xf>
    <xf numFmtId="0" fontId="6" fillId="12" borderId="10" xfId="0" applyFont="1" applyFill="1" applyBorder="1" applyAlignment="1">
      <alignment horizontal="left" vertical="center" wrapText="1" indent="1"/>
    </xf>
    <xf numFmtId="0" fontId="6" fillId="11" borderId="10" xfId="0" applyFont="1" applyFill="1" applyBorder="1" applyAlignment="1">
      <alignment horizontal="left" vertical="center" wrapText="1" indent="1"/>
    </xf>
    <xf numFmtId="0" fontId="6" fillId="11" borderId="14" xfId="0" applyFont="1" applyFill="1" applyBorder="1" applyAlignment="1">
      <alignment horizontal="left" vertical="center" wrapText="1" indent="1"/>
    </xf>
    <xf numFmtId="0" fontId="6" fillId="11" borderId="15" xfId="0" applyFont="1" applyFill="1" applyBorder="1" applyAlignment="1">
      <alignment horizontal="left" vertical="center" wrapText="1" indent="1"/>
    </xf>
    <xf numFmtId="44" fontId="7" fillId="5" borderId="37" xfId="1" applyFont="1" applyFill="1" applyBorder="1" applyAlignment="1">
      <alignment horizontal="center" vertical="center" wrapText="1"/>
    </xf>
    <xf numFmtId="0" fontId="6" fillId="2" borderId="38" xfId="0" applyFont="1" applyFill="1" applyBorder="1" applyAlignment="1">
      <alignment horizontal="center" vertical="center" wrapText="1"/>
    </xf>
    <xf numFmtId="0" fontId="6" fillId="2" borderId="39" xfId="0" applyFont="1" applyFill="1" applyBorder="1" applyAlignment="1">
      <alignment horizontal="center" vertical="center" wrapText="1"/>
    </xf>
    <xf numFmtId="16" fontId="6" fillId="2" borderId="40" xfId="0" applyNumberFormat="1" applyFont="1" applyFill="1" applyBorder="1" applyAlignment="1">
      <alignment horizontal="center" vertical="center" wrapText="1"/>
    </xf>
    <xf numFmtId="0" fontId="0" fillId="0" borderId="0" xfId="0" applyAlignment="1">
      <alignment vertical="center"/>
    </xf>
    <xf numFmtId="0" fontId="2" fillId="0" borderId="0" xfId="0" applyFont="1" applyAlignment="1">
      <alignment horizontal="center" vertical="center"/>
    </xf>
    <xf numFmtId="0" fontId="2" fillId="0" borderId="0" xfId="0" applyFont="1"/>
    <xf numFmtId="44" fontId="7" fillId="5" borderId="35" xfId="1" applyFont="1" applyFill="1" applyBorder="1" applyAlignment="1">
      <alignment horizontal="right" vertical="center" wrapText="1"/>
    </xf>
    <xf numFmtId="0" fontId="6" fillId="15" borderId="11" xfId="0" applyFont="1" applyFill="1" applyBorder="1" applyAlignment="1">
      <alignment horizontal="left" vertical="center" wrapText="1" indent="1"/>
    </xf>
    <xf numFmtId="0" fontId="6" fillId="14" borderId="11" xfId="0" applyFont="1" applyFill="1" applyBorder="1" applyAlignment="1">
      <alignment horizontal="left" vertical="center" wrapText="1" indent="1"/>
    </xf>
    <xf numFmtId="0" fontId="6" fillId="15" borderId="10" xfId="0" applyFont="1" applyFill="1" applyBorder="1" applyAlignment="1">
      <alignment horizontal="left" vertical="center" wrapText="1" indent="1"/>
    </xf>
    <xf numFmtId="0" fontId="6" fillId="14" borderId="10" xfId="0" applyFont="1" applyFill="1" applyBorder="1" applyAlignment="1">
      <alignment horizontal="left" vertical="center" wrapText="1" indent="1"/>
    </xf>
    <xf numFmtId="0" fontId="8" fillId="11" borderId="11" xfId="0" applyFont="1" applyFill="1" applyBorder="1" applyAlignment="1">
      <alignment horizontal="left" vertical="center" wrapText="1" indent="1"/>
    </xf>
    <xf numFmtId="0" fontId="8" fillId="14" borderId="11" xfId="0" applyFont="1" applyFill="1" applyBorder="1" applyAlignment="1">
      <alignment horizontal="left" vertical="center" wrapText="1" indent="1"/>
    </xf>
    <xf numFmtId="0" fontId="0" fillId="0" borderId="0" xfId="0" applyAlignment="1">
      <alignment wrapText="1"/>
    </xf>
    <xf numFmtId="44" fontId="8" fillId="5" borderId="11" xfId="1" applyFont="1" applyFill="1" applyBorder="1" applyAlignment="1">
      <alignment horizontal="center" vertical="center" wrapText="1"/>
    </xf>
    <xf numFmtId="16" fontId="8" fillId="2" borderId="11" xfId="0" applyNumberFormat="1" applyFont="1" applyFill="1" applyBorder="1" applyAlignment="1">
      <alignment vertical="center" wrapText="1"/>
    </xf>
    <xf numFmtId="44" fontId="8" fillId="16" borderId="11" xfId="1" applyFont="1" applyFill="1" applyBorder="1" applyAlignment="1">
      <alignment horizontal="center" vertical="center" wrapText="1"/>
    </xf>
    <xf numFmtId="44" fontId="8" fillId="5" borderId="11" xfId="1" applyFont="1" applyFill="1" applyBorder="1" applyAlignment="1">
      <alignment horizontal="right" vertical="center" wrapText="1"/>
    </xf>
    <xf numFmtId="0" fontId="8" fillId="11" borderId="11" xfId="0" applyFont="1" applyFill="1" applyBorder="1" applyAlignment="1">
      <alignment horizontal="left" vertical="center" wrapText="1"/>
    </xf>
    <xf numFmtId="0" fontId="8" fillId="14" borderId="11" xfId="0" applyFont="1" applyFill="1" applyBorder="1" applyAlignment="1">
      <alignment horizontal="left" vertical="center" wrapText="1"/>
    </xf>
    <xf numFmtId="164" fontId="8" fillId="2" borderId="11" xfId="0" applyNumberFormat="1" applyFont="1" applyFill="1" applyBorder="1" applyAlignment="1">
      <alignment vertical="center" wrapText="1"/>
    </xf>
    <xf numFmtId="164" fontId="8" fillId="2" borderId="11" xfId="0" applyNumberFormat="1" applyFont="1" applyFill="1" applyBorder="1" applyAlignment="1">
      <alignment horizontal="center" vertical="center" wrapText="1"/>
    </xf>
    <xf numFmtId="0" fontId="8" fillId="14" borderId="11" xfId="0" applyFont="1" applyFill="1" applyBorder="1" applyAlignment="1">
      <alignment horizontal="center" vertical="center" wrapText="1"/>
    </xf>
    <xf numFmtId="0" fontId="8" fillId="11" borderId="11" xfId="0" applyFont="1" applyFill="1" applyBorder="1" applyAlignment="1">
      <alignment horizontal="center" vertical="center" wrapText="1"/>
    </xf>
    <xf numFmtId="0" fontId="12" fillId="0" borderId="41" xfId="0" applyFont="1" applyBorder="1"/>
    <xf numFmtId="165" fontId="12" fillId="0" borderId="41" xfId="0" applyNumberFormat="1" applyFont="1" applyBorder="1"/>
    <xf numFmtId="165" fontId="12" fillId="0" borderId="42" xfId="0" applyNumberFormat="1" applyFont="1" applyBorder="1"/>
    <xf numFmtId="165" fontId="12" fillId="0" borderId="43" xfId="0" applyNumberFormat="1" applyFont="1" applyBorder="1"/>
    <xf numFmtId="165" fontId="12" fillId="0" borderId="44" xfId="0" applyNumberFormat="1" applyFont="1" applyBorder="1"/>
    <xf numFmtId="0" fontId="13" fillId="0" borderId="0" xfId="0" applyFont="1" applyAlignment="1">
      <alignment horizontal="center" vertical="center" wrapText="1"/>
    </xf>
    <xf numFmtId="0" fontId="6" fillId="0" borderId="0" xfId="0" applyFont="1" applyAlignment="1">
      <alignment horizontal="center" vertical="center"/>
    </xf>
    <xf numFmtId="0" fontId="14" fillId="13" borderId="0" xfId="0" applyFont="1" applyFill="1" applyAlignment="1">
      <alignment horizontal="center" vertical="center"/>
    </xf>
    <xf numFmtId="0" fontId="15" fillId="0" borderId="0" xfId="0" applyFont="1" applyAlignment="1">
      <alignment horizontal="center" vertical="center"/>
    </xf>
    <xf numFmtId="0" fontId="16" fillId="17" borderId="0" xfId="0" applyFont="1" applyFill="1" applyAlignment="1">
      <alignment horizontal="center" vertical="center"/>
    </xf>
    <xf numFmtId="0" fontId="0" fillId="0" borderId="0" xfId="0" applyAlignment="1">
      <alignment horizontal="left" vertical="center"/>
    </xf>
    <xf numFmtId="0" fontId="0" fillId="0" borderId="0" xfId="0" applyAlignment="1">
      <alignment horizontal="left" vertical="top"/>
    </xf>
    <xf numFmtId="0" fontId="17" fillId="18" borderId="46" xfId="0" applyFont="1" applyFill="1" applyBorder="1" applyAlignment="1">
      <alignment horizontal="left" vertical="center" wrapText="1"/>
    </xf>
    <xf numFmtId="0" fontId="17" fillId="18" borderId="40" xfId="0" applyFont="1" applyFill="1" applyBorder="1" applyAlignment="1">
      <alignment horizontal="center" vertical="center" wrapText="1"/>
    </xf>
    <xf numFmtId="165" fontId="19" fillId="0" borderId="46" xfId="0" applyNumberFormat="1" applyFont="1" applyBorder="1" applyAlignment="1">
      <alignment horizontal="center" vertical="center" wrapText="1"/>
    </xf>
    <xf numFmtId="165" fontId="19" fillId="0" borderId="48" xfId="0" applyNumberFormat="1" applyFont="1" applyBorder="1" applyAlignment="1">
      <alignment horizontal="center" vertical="center" wrapText="1"/>
    </xf>
    <xf numFmtId="0" fontId="17" fillId="18" borderId="39" xfId="0" applyFont="1" applyFill="1" applyBorder="1" applyAlignment="1">
      <alignment horizontal="center" vertical="center" wrapText="1"/>
    </xf>
    <xf numFmtId="166" fontId="20" fillId="0" borderId="35" xfId="0" applyNumberFormat="1" applyFont="1" applyBorder="1" applyAlignment="1">
      <alignment horizontal="left" vertical="center" wrapText="1"/>
    </xf>
    <xf numFmtId="0" fontId="14" fillId="19" borderId="24" xfId="0" applyFont="1" applyFill="1" applyBorder="1" applyAlignment="1">
      <alignment horizontal="left" vertical="center" wrapText="1"/>
    </xf>
    <xf numFmtId="0" fontId="21" fillId="19" borderId="25" xfId="0" applyFont="1" applyFill="1" applyBorder="1" applyAlignment="1">
      <alignment horizontal="left" vertical="center" wrapText="1"/>
    </xf>
    <xf numFmtId="4" fontId="22" fillId="0" borderId="29" xfId="0" applyNumberFormat="1" applyFont="1" applyBorder="1" applyAlignment="1">
      <alignment horizontal="right" vertical="center" wrapText="1"/>
    </xf>
    <xf numFmtId="165" fontId="23" fillId="0" borderId="49" xfId="0" applyNumberFormat="1" applyFont="1" applyBorder="1" applyAlignment="1">
      <alignment vertical="center"/>
    </xf>
    <xf numFmtId="165" fontId="23" fillId="0" borderId="34" xfId="0" applyNumberFormat="1" applyFont="1" applyBorder="1" applyAlignment="1">
      <alignment vertical="center"/>
    </xf>
    <xf numFmtId="0" fontId="14" fillId="0" borderId="24" xfId="0" applyFont="1" applyBorder="1" applyAlignment="1">
      <alignment horizontal="left" vertical="center" wrapText="1"/>
    </xf>
    <xf numFmtId="0" fontId="21" fillId="0" borderId="25" xfId="0" applyFont="1" applyBorder="1" applyAlignment="1">
      <alignment horizontal="left" vertical="center" wrapText="1"/>
    </xf>
    <xf numFmtId="0" fontId="24" fillId="0" borderId="29" xfId="0" applyFont="1" applyBorder="1" applyAlignment="1">
      <alignment horizontal="center" vertical="center" wrapText="1"/>
    </xf>
    <xf numFmtId="165" fontId="23" fillId="0" borderId="34" xfId="0" applyNumberFormat="1" applyFont="1" applyBorder="1" applyAlignment="1">
      <alignment horizontal="right" vertical="center"/>
    </xf>
    <xf numFmtId="165" fontId="19" fillId="0" borderId="50" xfId="0" applyNumberFormat="1" applyFont="1" applyBorder="1" applyAlignment="1">
      <alignment horizontal="right" vertical="center"/>
    </xf>
    <xf numFmtId="166" fontId="20" fillId="0" borderId="36" xfId="0" applyNumberFormat="1" applyFont="1" applyBorder="1" applyAlignment="1">
      <alignment horizontal="left" vertical="center" wrapText="1"/>
    </xf>
    <xf numFmtId="0" fontId="14" fillId="19" borderId="10" xfId="0" applyFont="1" applyFill="1" applyBorder="1" applyAlignment="1">
      <alignment horizontal="left" vertical="center" wrapText="1"/>
    </xf>
    <xf numFmtId="0" fontId="21" fillId="19" borderId="11" xfId="0" applyFont="1" applyFill="1" applyBorder="1" applyAlignment="1">
      <alignment horizontal="left" vertical="center" wrapText="1"/>
    </xf>
    <xf numFmtId="4" fontId="22" fillId="0" borderId="12" xfId="0" applyNumberFormat="1" applyFont="1" applyBorder="1" applyAlignment="1">
      <alignment horizontal="right" vertical="center" wrapText="1"/>
    </xf>
    <xf numFmtId="165" fontId="23" fillId="0" borderId="36" xfId="0" applyNumberFormat="1" applyFont="1" applyBorder="1" applyAlignment="1">
      <alignment vertical="center"/>
    </xf>
    <xf numFmtId="0" fontId="14" fillId="0" borderId="10" xfId="0" applyFont="1" applyBorder="1" applyAlignment="1">
      <alignment horizontal="left" vertical="center" wrapText="1"/>
    </xf>
    <xf numFmtId="0" fontId="21" fillId="0" borderId="11" xfId="0" applyFont="1" applyBorder="1" applyAlignment="1">
      <alignment horizontal="left" vertical="center" wrapText="1"/>
    </xf>
    <xf numFmtId="0" fontId="24" fillId="0" borderId="12" xfId="0" applyFont="1" applyBorder="1" applyAlignment="1">
      <alignment horizontal="center" vertical="center" wrapText="1"/>
    </xf>
    <xf numFmtId="165" fontId="23" fillId="0" borderId="36" xfId="0" applyNumberFormat="1" applyFont="1" applyBorder="1" applyAlignment="1">
      <alignment horizontal="right" vertical="center"/>
    </xf>
    <xf numFmtId="165" fontId="19" fillId="0" borderId="51" xfId="0" applyNumberFormat="1" applyFont="1" applyBorder="1" applyAlignment="1">
      <alignment horizontal="right" vertical="center"/>
    </xf>
    <xf numFmtId="0" fontId="21" fillId="19" borderId="11" xfId="0" applyFont="1" applyFill="1" applyBorder="1" applyAlignment="1">
      <alignment horizontal="center" vertical="center" wrapText="1"/>
    </xf>
    <xf numFmtId="165" fontId="23" fillId="0" borderId="51" xfId="0" applyNumberFormat="1" applyFont="1" applyBorder="1" applyAlignment="1">
      <alignment horizontal="right" vertical="center"/>
    </xf>
    <xf numFmtId="0" fontId="26" fillId="19" borderId="11" xfId="0" applyFont="1" applyFill="1" applyBorder="1" applyAlignment="1">
      <alignment vertical="center" wrapText="1"/>
    </xf>
    <xf numFmtId="0" fontId="14" fillId="19" borderId="10" xfId="0" applyFont="1" applyFill="1" applyBorder="1" applyAlignment="1">
      <alignment vertical="center" wrapText="1"/>
    </xf>
    <xf numFmtId="0" fontId="21" fillId="19" borderId="11" xfId="0" applyFont="1" applyFill="1" applyBorder="1" applyAlignment="1">
      <alignment vertical="center" wrapText="1"/>
    </xf>
    <xf numFmtId="166" fontId="20" fillId="0" borderId="37" xfId="0" applyNumberFormat="1" applyFont="1" applyBorder="1" applyAlignment="1">
      <alignment horizontal="left" vertical="center" wrapText="1"/>
    </xf>
    <xf numFmtId="0" fontId="14" fillId="0" borderId="14" xfId="0" applyFont="1" applyBorder="1" applyAlignment="1">
      <alignment horizontal="left" vertical="center" wrapText="1"/>
    </xf>
    <xf numFmtId="0" fontId="21" fillId="0" borderId="15" xfId="0" applyFont="1" applyBorder="1" applyAlignment="1">
      <alignment horizontal="left" vertical="center" wrapText="1"/>
    </xf>
    <xf numFmtId="0" fontId="24" fillId="0" borderId="16" xfId="0" applyFont="1" applyBorder="1" applyAlignment="1">
      <alignment horizontal="center" vertical="center" wrapText="1"/>
    </xf>
    <xf numFmtId="165" fontId="23" fillId="0" borderId="37" xfId="0" applyNumberFormat="1" applyFont="1" applyBorder="1" applyAlignment="1">
      <alignment horizontal="right" vertical="center"/>
    </xf>
    <xf numFmtId="165" fontId="19" fillId="0" borderId="52" xfId="0" applyNumberFormat="1" applyFont="1" applyBorder="1" applyAlignment="1">
      <alignment horizontal="right" vertical="center"/>
    </xf>
    <xf numFmtId="0" fontId="16" fillId="0" borderId="0" xfId="0" applyFont="1" applyAlignment="1">
      <alignment horizontal="left" vertical="top"/>
    </xf>
    <xf numFmtId="0" fontId="27" fillId="0" borderId="0" xfId="0" applyFont="1" applyAlignment="1">
      <alignment horizontal="left" vertical="top"/>
    </xf>
    <xf numFmtId="165" fontId="19" fillId="0" borderId="0" xfId="0" applyNumberFormat="1" applyFont="1" applyAlignment="1">
      <alignment horizontal="right" vertical="center"/>
    </xf>
    <xf numFmtId="4" fontId="22" fillId="19" borderId="12" xfId="0" applyNumberFormat="1" applyFont="1" applyFill="1" applyBorder="1" applyAlignment="1">
      <alignment horizontal="right" vertical="center" wrapText="1"/>
    </xf>
    <xf numFmtId="0" fontId="28" fillId="18" borderId="39" xfId="0" applyFont="1" applyFill="1" applyBorder="1" applyAlignment="1">
      <alignment horizontal="center" vertical="center" wrapText="1"/>
    </xf>
    <xf numFmtId="165" fontId="19" fillId="0" borderId="0" xfId="0" applyNumberFormat="1" applyFont="1" applyAlignment="1">
      <alignment horizontal="center" vertical="center" wrapText="1"/>
    </xf>
    <xf numFmtId="0" fontId="0" fillId="0" borderId="34" xfId="0" applyBorder="1" applyAlignment="1">
      <alignment horizontal="left" vertical="top"/>
    </xf>
    <xf numFmtId="0" fontId="16" fillId="0" borderId="53" xfId="0" applyFont="1" applyBorder="1" applyAlignment="1">
      <alignment horizontal="left" vertical="top"/>
    </xf>
    <xf numFmtId="0" fontId="0" fillId="0" borderId="25" xfId="0" applyBorder="1" applyAlignment="1">
      <alignment horizontal="left" vertical="top"/>
    </xf>
    <xf numFmtId="4" fontId="27" fillId="0" borderId="54" xfId="0" applyNumberFormat="1" applyFont="1" applyBorder="1" applyAlignment="1">
      <alignment horizontal="right" vertical="center"/>
    </xf>
    <xf numFmtId="4" fontId="27" fillId="0" borderId="48" xfId="0" applyNumberFormat="1" applyFont="1" applyBorder="1" applyAlignment="1">
      <alignment horizontal="right" vertical="center"/>
    </xf>
    <xf numFmtId="4" fontId="27" fillId="0" borderId="0" xfId="0" applyNumberFormat="1" applyFont="1" applyAlignment="1">
      <alignment horizontal="right" vertical="center"/>
    </xf>
    <xf numFmtId="0" fontId="0" fillId="0" borderId="36" xfId="0" applyBorder="1" applyAlignment="1">
      <alignment horizontal="left" vertical="top"/>
    </xf>
    <xf numFmtId="0" fontId="16" fillId="0" borderId="13" xfId="0" applyFont="1" applyBorder="1" applyAlignment="1">
      <alignment horizontal="left" vertical="top"/>
    </xf>
    <xf numFmtId="0" fontId="0" fillId="0" borderId="11" xfId="0" applyBorder="1" applyAlignment="1">
      <alignment horizontal="left" vertical="top"/>
    </xf>
    <xf numFmtId="4" fontId="27" fillId="0" borderId="55" xfId="0" applyNumberFormat="1" applyFont="1" applyBorder="1" applyAlignment="1">
      <alignment horizontal="right" vertical="center"/>
    </xf>
    <xf numFmtId="4" fontId="27" fillId="0" borderId="36" xfId="0" applyNumberFormat="1" applyFont="1" applyBorder="1" applyAlignment="1">
      <alignment horizontal="right" vertical="center"/>
    </xf>
    <xf numFmtId="0" fontId="0" fillId="0" borderId="37" xfId="0" applyBorder="1" applyAlignment="1">
      <alignment horizontal="left" vertical="top"/>
    </xf>
    <xf numFmtId="0" fontId="16" fillId="0" borderId="17" xfId="0" applyFont="1" applyBorder="1" applyAlignment="1">
      <alignment horizontal="left" vertical="top"/>
    </xf>
    <xf numFmtId="0" fontId="0" fillId="0" borderId="15" xfId="0" applyBorder="1" applyAlignment="1">
      <alignment horizontal="left" vertical="top"/>
    </xf>
    <xf numFmtId="4" fontId="27" fillId="0" borderId="56" xfId="0" applyNumberFormat="1" applyFont="1" applyBorder="1" applyAlignment="1">
      <alignment horizontal="right" vertical="center"/>
    </xf>
    <xf numFmtId="4" fontId="27" fillId="0" borderId="37" xfId="0" applyNumberFormat="1" applyFont="1" applyBorder="1" applyAlignment="1">
      <alignment horizontal="right" vertical="center"/>
    </xf>
    <xf numFmtId="0" fontId="0" fillId="20" borderId="0" xfId="0" applyFill="1" applyAlignment="1">
      <alignment horizontal="left" vertical="top"/>
    </xf>
    <xf numFmtId="0" fontId="16" fillId="20" borderId="0" xfId="0" applyFont="1" applyFill="1" applyAlignment="1">
      <alignment horizontal="left" vertical="top"/>
    </xf>
    <xf numFmtId="165" fontId="29" fillId="20" borderId="0" xfId="0" applyNumberFormat="1" applyFont="1" applyFill="1" applyAlignment="1">
      <alignment horizontal="right" vertical="center"/>
    </xf>
    <xf numFmtId="0" fontId="14" fillId="21" borderId="10" xfId="0" applyFont="1" applyFill="1" applyBorder="1" applyAlignment="1">
      <alignment horizontal="left" vertical="center" wrapText="1"/>
    </xf>
    <xf numFmtId="0" fontId="26" fillId="0" borderId="11" xfId="0" applyFont="1" applyBorder="1" applyAlignment="1">
      <alignment horizontal="left" vertical="center"/>
    </xf>
    <xf numFmtId="4" fontId="22" fillId="0" borderId="51" xfId="0" applyNumberFormat="1" applyFont="1" applyBorder="1" applyAlignment="1">
      <alignment horizontal="right" vertical="top"/>
    </xf>
    <xf numFmtId="166" fontId="20" fillId="0" borderId="57" xfId="0" applyNumberFormat="1" applyFont="1" applyBorder="1" applyAlignment="1">
      <alignment horizontal="left" vertical="center" wrapText="1"/>
    </xf>
    <xf numFmtId="0" fontId="14" fillId="21" borderId="32" xfId="0" applyFont="1" applyFill="1" applyBorder="1" applyAlignment="1">
      <alignment horizontal="left" vertical="center" wrapText="1"/>
    </xf>
    <xf numFmtId="0" fontId="26" fillId="0" borderId="27" xfId="0" applyFont="1" applyBorder="1" applyAlignment="1">
      <alignment horizontal="left" vertical="center"/>
    </xf>
    <xf numFmtId="4" fontId="22" fillId="0" borderId="58" xfId="0" applyNumberFormat="1" applyFont="1" applyBorder="1" applyAlignment="1">
      <alignment horizontal="right" vertical="top"/>
    </xf>
    <xf numFmtId="165" fontId="23" fillId="0" borderId="37" xfId="0" applyNumberFormat="1" applyFont="1" applyBorder="1" applyAlignment="1">
      <alignment vertical="center"/>
    </xf>
    <xf numFmtId="0" fontId="0" fillId="22" borderId="0" xfId="0" applyFill="1" applyAlignment="1">
      <alignment horizontal="left" vertical="top"/>
    </xf>
    <xf numFmtId="0" fontId="16" fillId="22" borderId="0" xfId="0" applyFont="1" applyFill="1" applyAlignment="1">
      <alignment horizontal="left" vertical="top"/>
    </xf>
    <xf numFmtId="0" fontId="0" fillId="22" borderId="0" xfId="0" applyFill="1" applyAlignment="1">
      <alignment horizontal="left" vertical="top" wrapText="1"/>
    </xf>
    <xf numFmtId="165" fontId="29" fillId="22" borderId="0" xfId="0" applyNumberFormat="1" applyFont="1" applyFill="1" applyAlignment="1">
      <alignment horizontal="right" vertical="center"/>
    </xf>
    <xf numFmtId="166" fontId="20" fillId="0" borderId="1" xfId="0" applyNumberFormat="1" applyFont="1" applyBorder="1" applyAlignment="1">
      <alignment horizontal="left" vertical="center" wrapText="1"/>
    </xf>
    <xf numFmtId="0" fontId="14" fillId="0" borderId="2" xfId="0" applyFont="1" applyBorder="1" applyAlignment="1">
      <alignment horizontal="left" vertical="center" wrapText="1"/>
    </xf>
    <xf numFmtId="0" fontId="26" fillId="0" borderId="2" xfId="0" applyFont="1" applyBorder="1" applyAlignment="1">
      <alignment horizontal="left" vertical="top"/>
    </xf>
    <xf numFmtId="4" fontId="22" fillId="0" borderId="2" xfId="0" applyNumberFormat="1" applyFont="1" applyBorder="1" applyAlignment="1">
      <alignment horizontal="right" vertical="top"/>
    </xf>
    <xf numFmtId="165" fontId="23" fillId="0" borderId="3" xfId="0" applyNumberFormat="1" applyFont="1" applyBorder="1" applyAlignment="1">
      <alignment vertical="center"/>
    </xf>
    <xf numFmtId="165" fontId="23" fillId="0" borderId="46" xfId="0" applyNumberFormat="1" applyFont="1" applyBorder="1" applyAlignment="1">
      <alignment vertical="center"/>
    </xf>
    <xf numFmtId="165" fontId="29" fillId="0" borderId="0" xfId="0" applyNumberFormat="1" applyFont="1" applyAlignment="1">
      <alignment horizontal="right" vertical="center"/>
    </xf>
    <xf numFmtId="166" fontId="20" fillId="0" borderId="59" xfId="0" applyNumberFormat="1" applyFont="1" applyBorder="1" applyAlignment="1">
      <alignment horizontal="left" vertical="center" wrapText="1"/>
    </xf>
    <xf numFmtId="0" fontId="14" fillId="0" borderId="21" xfId="0" applyFont="1" applyBorder="1" applyAlignment="1">
      <alignment horizontal="left" vertical="center" wrapText="1"/>
    </xf>
    <xf numFmtId="0" fontId="26" fillId="0" borderId="22" xfId="0" applyFont="1" applyBorder="1" applyAlignment="1">
      <alignment horizontal="left" vertical="top"/>
    </xf>
    <xf numFmtId="4" fontId="22" fillId="0" borderId="60" xfId="0" applyNumberFormat="1" applyFont="1" applyBorder="1" applyAlignment="1">
      <alignment horizontal="right" vertical="top"/>
    </xf>
    <xf numFmtId="165" fontId="23" fillId="0" borderId="59" xfId="0" applyNumberFormat="1" applyFont="1" applyBorder="1" applyAlignment="1">
      <alignment vertical="center"/>
    </xf>
    <xf numFmtId="0" fontId="26" fillId="0" borderId="22" xfId="0" applyFont="1" applyBorder="1" applyAlignment="1">
      <alignment horizontal="center" vertical="center"/>
    </xf>
    <xf numFmtId="0" fontId="0" fillId="15" borderId="0" xfId="0" applyFill="1" applyAlignment="1">
      <alignment horizontal="left" vertical="top"/>
    </xf>
    <xf numFmtId="0" fontId="16" fillId="15" borderId="0" xfId="0" applyFont="1" applyFill="1" applyAlignment="1">
      <alignment horizontal="left" vertical="top"/>
    </xf>
    <xf numFmtId="0" fontId="0" fillId="15" borderId="0" xfId="0" applyFill="1" applyAlignment="1">
      <alignment horizontal="left" vertical="top" wrapText="1"/>
    </xf>
    <xf numFmtId="165" fontId="29" fillId="15" borderId="0" xfId="0" applyNumberFormat="1" applyFont="1" applyFill="1" applyAlignment="1">
      <alignment horizontal="right" vertical="center"/>
    </xf>
    <xf numFmtId="0" fontId="26" fillId="0" borderId="0" xfId="0" applyFont="1" applyAlignment="1">
      <alignment horizontal="left" vertical="top"/>
    </xf>
    <xf numFmtId="0" fontId="14" fillId="0" borderId="0" xfId="0" applyFont="1" applyAlignment="1">
      <alignment horizontal="left" vertical="top"/>
    </xf>
    <xf numFmtId="0" fontId="26" fillId="0" borderId="0" xfId="0" applyFont="1" applyAlignment="1">
      <alignment horizontal="right" vertical="top"/>
    </xf>
    <xf numFmtId="165" fontId="19" fillId="0" borderId="0" xfId="0" applyNumberFormat="1" applyFont="1" applyAlignment="1">
      <alignment vertical="center"/>
    </xf>
    <xf numFmtId="44" fontId="8" fillId="23" borderId="11" xfId="1" applyFont="1" applyFill="1" applyBorder="1" applyAlignment="1">
      <alignment horizontal="center" vertical="center" wrapText="1"/>
    </xf>
    <xf numFmtId="0" fontId="8" fillId="2" borderId="33" xfId="0" applyFont="1" applyFill="1" applyBorder="1" applyAlignment="1">
      <alignment horizontal="center" vertical="center" wrapText="1"/>
    </xf>
    <xf numFmtId="16" fontId="8" fillId="2" borderId="33" xfId="0" applyNumberFormat="1" applyFont="1" applyFill="1" applyBorder="1" applyAlignment="1">
      <alignment horizontal="center" vertical="center" wrapText="1"/>
    </xf>
    <xf numFmtId="44" fontId="8" fillId="5" borderId="18" xfId="1" applyFont="1" applyFill="1" applyBorder="1" applyAlignment="1">
      <alignment horizontal="center" vertical="center" wrapText="1"/>
    </xf>
    <xf numFmtId="44" fontId="8" fillId="16" borderId="18" xfId="1" applyFont="1" applyFill="1" applyBorder="1" applyAlignment="1">
      <alignment horizontal="center" vertical="center" wrapText="1"/>
    </xf>
    <xf numFmtId="0" fontId="8" fillId="9" borderId="24" xfId="0" applyFont="1" applyFill="1" applyBorder="1" applyAlignment="1">
      <alignment horizontal="left" vertical="center" wrapText="1"/>
    </xf>
    <xf numFmtId="44" fontId="8" fillId="5" borderId="25" xfId="1" applyFont="1" applyFill="1" applyBorder="1" applyAlignment="1">
      <alignment horizontal="center" vertical="center" wrapText="1"/>
    </xf>
    <xf numFmtId="44" fontId="8" fillId="16" borderId="25" xfId="1" applyFont="1" applyFill="1" applyBorder="1" applyAlignment="1">
      <alignment horizontal="center" vertical="center" wrapText="1"/>
    </xf>
    <xf numFmtId="0" fontId="8" fillId="9" borderId="10" xfId="0" applyFont="1" applyFill="1" applyBorder="1" applyAlignment="1">
      <alignment horizontal="left" vertical="center" wrapText="1"/>
    </xf>
    <xf numFmtId="0" fontId="8" fillId="9" borderId="14" xfId="0" applyFont="1" applyFill="1" applyBorder="1" applyAlignment="1">
      <alignment horizontal="left" vertical="center" wrapText="1"/>
    </xf>
    <xf numFmtId="44" fontId="8" fillId="5" borderId="15" xfId="1" applyFont="1" applyFill="1" applyBorder="1" applyAlignment="1">
      <alignment horizontal="center" vertical="center" wrapText="1"/>
    </xf>
    <xf numFmtId="44" fontId="8" fillId="16" borderId="15" xfId="1" applyFont="1" applyFill="1" applyBorder="1" applyAlignment="1">
      <alignment horizontal="center" vertical="center" wrapText="1"/>
    </xf>
    <xf numFmtId="44" fontId="8" fillId="5" borderId="15" xfId="1" applyFont="1" applyFill="1" applyBorder="1" applyAlignment="1">
      <alignment horizontal="right" vertical="center" wrapText="1"/>
    </xf>
    <xf numFmtId="13" fontId="8" fillId="16" borderId="25" xfId="1" applyNumberFormat="1" applyFont="1" applyFill="1" applyBorder="1" applyAlignment="1">
      <alignment horizontal="center" vertical="center" wrapText="1"/>
    </xf>
    <xf numFmtId="165" fontId="8" fillId="5" borderId="11" xfId="1" applyNumberFormat="1" applyFont="1" applyFill="1" applyBorder="1" applyAlignment="1">
      <alignment horizontal="center" vertical="center" wrapText="1"/>
    </xf>
    <xf numFmtId="165" fontId="8" fillId="23" borderId="11" xfId="1" applyNumberFormat="1" applyFont="1" applyFill="1" applyBorder="1" applyAlignment="1">
      <alignment horizontal="center" vertical="center" wrapText="1"/>
    </xf>
    <xf numFmtId="165" fontId="0" fillId="0" borderId="0" xfId="0" applyNumberFormat="1"/>
    <xf numFmtId="164" fontId="32" fillId="2" borderId="11" xfId="0" applyNumberFormat="1" applyFont="1" applyFill="1" applyBorder="1" applyAlignment="1">
      <alignment horizontal="center" vertical="center" wrapText="1"/>
    </xf>
    <xf numFmtId="16" fontId="32" fillId="2" borderId="33" xfId="0" applyNumberFormat="1" applyFont="1" applyFill="1" applyBorder="1" applyAlignment="1">
      <alignment horizontal="center" vertical="center" wrapText="1"/>
    </xf>
    <xf numFmtId="165" fontId="32" fillId="5" borderId="11" xfId="1" applyNumberFormat="1" applyFont="1" applyFill="1" applyBorder="1" applyAlignment="1">
      <alignment horizontal="center" vertical="center" wrapText="1"/>
    </xf>
    <xf numFmtId="165" fontId="32" fillId="23" borderId="11" xfId="1" applyNumberFormat="1" applyFont="1" applyFill="1" applyBorder="1" applyAlignment="1">
      <alignment horizontal="center" vertical="center" wrapText="1"/>
    </xf>
    <xf numFmtId="165" fontId="33" fillId="0" borderId="0" xfId="0" applyNumberFormat="1" applyFont="1"/>
    <xf numFmtId="0" fontId="33" fillId="0" borderId="0" xfId="0" applyFont="1"/>
    <xf numFmtId="44" fontId="8" fillId="9" borderId="25" xfId="1" applyFont="1" applyFill="1" applyBorder="1" applyAlignment="1">
      <alignment horizontal="center" vertical="center" wrapText="1"/>
    </xf>
    <xf numFmtId="44" fontId="8" fillId="9" borderId="29" xfId="1" applyFont="1" applyFill="1" applyBorder="1" applyAlignment="1">
      <alignment horizontal="center" vertical="center" wrapText="1"/>
    </xf>
    <xf numFmtId="165" fontId="8" fillId="9" borderId="29" xfId="1" applyNumberFormat="1" applyFont="1" applyFill="1" applyBorder="1" applyAlignment="1">
      <alignment horizontal="center" vertical="center" wrapText="1"/>
    </xf>
    <xf numFmtId="165" fontId="32" fillId="9" borderId="29" xfId="1" applyNumberFormat="1" applyFont="1" applyFill="1" applyBorder="1" applyAlignment="1">
      <alignment horizontal="center" vertical="center" wrapText="1"/>
    </xf>
    <xf numFmtId="165" fontId="31" fillId="9" borderId="29" xfId="1" applyNumberFormat="1" applyFont="1" applyFill="1" applyBorder="1" applyAlignment="1">
      <alignment horizontal="center" vertical="center" wrapText="1"/>
    </xf>
    <xf numFmtId="44" fontId="8" fillId="9" borderId="11" xfId="1" applyFont="1" applyFill="1" applyBorder="1" applyAlignment="1">
      <alignment horizontal="center" vertical="center" wrapText="1"/>
    </xf>
    <xf numFmtId="44" fontId="8" fillId="9" borderId="12" xfId="1" applyFont="1" applyFill="1" applyBorder="1" applyAlignment="1">
      <alignment horizontal="center" vertical="center" wrapText="1"/>
    </xf>
    <xf numFmtId="165" fontId="8" fillId="9" borderId="12" xfId="1" applyNumberFormat="1" applyFont="1" applyFill="1" applyBorder="1" applyAlignment="1">
      <alignment horizontal="center" vertical="center" wrapText="1"/>
    </xf>
    <xf numFmtId="165" fontId="32" fillId="9" borderId="12" xfId="1" applyNumberFormat="1" applyFont="1" applyFill="1" applyBorder="1" applyAlignment="1">
      <alignment horizontal="center" vertical="center" wrapText="1"/>
    </xf>
    <xf numFmtId="165" fontId="31" fillId="9" borderId="12" xfId="1" applyNumberFormat="1" applyFont="1" applyFill="1" applyBorder="1" applyAlignment="1">
      <alignment horizontal="center" vertical="center" wrapText="1"/>
    </xf>
    <xf numFmtId="44" fontId="8" fillId="9" borderId="15" xfId="1" applyFont="1" applyFill="1" applyBorder="1" applyAlignment="1">
      <alignment horizontal="center" vertical="center" wrapText="1"/>
    </xf>
    <xf numFmtId="44" fontId="8" fillId="9" borderId="16" xfId="1" applyFont="1" applyFill="1" applyBorder="1" applyAlignment="1">
      <alignment horizontal="center" vertical="center" wrapText="1"/>
    </xf>
    <xf numFmtId="165" fontId="8" fillId="9" borderId="16" xfId="1" applyNumberFormat="1" applyFont="1" applyFill="1" applyBorder="1" applyAlignment="1">
      <alignment horizontal="center" vertical="center" wrapText="1"/>
    </xf>
    <xf numFmtId="165" fontId="32" fillId="9" borderId="16" xfId="1" applyNumberFormat="1" applyFont="1" applyFill="1" applyBorder="1" applyAlignment="1">
      <alignment horizontal="center" vertical="center" wrapText="1"/>
    </xf>
    <xf numFmtId="0" fontId="8" fillId="9" borderId="32" xfId="0" applyFont="1" applyFill="1" applyBorder="1" applyAlignment="1">
      <alignment horizontal="left" vertical="center" wrapText="1"/>
    </xf>
    <xf numFmtId="44" fontId="8" fillId="5" borderId="33" xfId="1" applyFont="1" applyFill="1" applyBorder="1" applyAlignment="1">
      <alignment horizontal="center" vertical="center" wrapText="1"/>
    </xf>
    <xf numFmtId="44" fontId="8" fillId="16" borderId="33" xfId="1" applyFont="1" applyFill="1" applyBorder="1" applyAlignment="1">
      <alignment horizontal="center" vertical="center" wrapText="1"/>
    </xf>
    <xf numFmtId="44" fontId="8" fillId="5" borderId="33" xfId="1" applyFont="1" applyFill="1" applyBorder="1" applyAlignment="1">
      <alignment horizontal="right" vertical="center" wrapText="1"/>
    </xf>
    <xf numFmtId="44" fontId="8" fillId="9" borderId="33" xfId="1" applyFont="1" applyFill="1" applyBorder="1" applyAlignment="1">
      <alignment horizontal="center" vertical="center" wrapText="1"/>
    </xf>
    <xf numFmtId="44" fontId="8" fillId="9" borderId="31" xfId="1" applyFont="1" applyFill="1" applyBorder="1" applyAlignment="1">
      <alignment horizontal="center" vertical="center" wrapText="1"/>
    </xf>
    <xf numFmtId="165" fontId="8" fillId="9" borderId="31" xfId="1" applyNumberFormat="1" applyFont="1" applyFill="1" applyBorder="1" applyAlignment="1">
      <alignment horizontal="center" vertical="center" wrapText="1"/>
    </xf>
    <xf numFmtId="165" fontId="32" fillId="9" borderId="31" xfId="1" applyNumberFormat="1" applyFont="1" applyFill="1" applyBorder="1" applyAlignment="1">
      <alignment horizontal="center" vertical="center" wrapText="1"/>
    </xf>
    <xf numFmtId="165" fontId="31" fillId="9" borderId="31" xfId="1" applyNumberFormat="1" applyFont="1" applyFill="1" applyBorder="1" applyAlignment="1">
      <alignment horizontal="center" vertical="center" wrapText="1"/>
    </xf>
    <xf numFmtId="0" fontId="8" fillId="2" borderId="11" xfId="0" applyFont="1" applyFill="1" applyBorder="1" applyAlignment="1">
      <alignment horizontal="center" vertical="center" wrapText="1"/>
    </xf>
    <xf numFmtId="0" fontId="17" fillId="18" borderId="2" xfId="0" applyFont="1" applyFill="1" applyBorder="1" applyAlignment="1">
      <alignment horizontal="center" vertical="center" wrapText="1"/>
    </xf>
    <xf numFmtId="0" fontId="17" fillId="18" borderId="47" xfId="0" applyFont="1" applyFill="1" applyBorder="1" applyAlignment="1">
      <alignment horizontal="center" vertical="center" wrapText="1"/>
    </xf>
    <xf numFmtId="0" fontId="14" fillId="13" borderId="45" xfId="0" applyFont="1" applyFill="1" applyBorder="1" applyAlignment="1">
      <alignment horizontal="center" vertical="center"/>
    </xf>
    <xf numFmtId="0" fontId="16" fillId="17" borderId="45" xfId="0" applyFont="1" applyFill="1" applyBorder="1" applyAlignment="1">
      <alignment horizontal="center" vertical="center"/>
    </xf>
    <xf numFmtId="0" fontId="4" fillId="2" borderId="1" xfId="0" applyFont="1" applyFill="1" applyBorder="1" applyAlignment="1">
      <alignment horizontal="left" vertical="center" wrapText="1"/>
    </xf>
    <xf numFmtId="0" fontId="4" fillId="2" borderId="2" xfId="0" applyFont="1" applyFill="1" applyBorder="1" applyAlignment="1">
      <alignment horizontal="left" vertical="center" wrapText="1"/>
    </xf>
    <xf numFmtId="0" fontId="8" fillId="4" borderId="24" xfId="0" applyFont="1" applyFill="1" applyBorder="1" applyAlignment="1">
      <alignment horizontal="left" vertical="center" wrapText="1"/>
    </xf>
    <xf numFmtId="44" fontId="8" fillId="4" borderId="25" xfId="1" applyFont="1" applyFill="1" applyBorder="1" applyAlignment="1">
      <alignment horizontal="center" vertical="center" wrapText="1"/>
    </xf>
    <xf numFmtId="44" fontId="8" fillId="4" borderId="29" xfId="1" applyFont="1" applyFill="1" applyBorder="1" applyAlignment="1">
      <alignment horizontal="center" vertical="center" wrapText="1"/>
    </xf>
    <xf numFmtId="165" fontId="8" fillId="4" borderId="29" xfId="1" applyNumberFormat="1" applyFont="1" applyFill="1" applyBorder="1" applyAlignment="1">
      <alignment horizontal="center" vertical="center" wrapText="1"/>
    </xf>
    <xf numFmtId="165" fontId="32" fillId="4" borderId="29" xfId="1" applyNumberFormat="1" applyFont="1" applyFill="1" applyBorder="1" applyAlignment="1">
      <alignment horizontal="center" vertical="center" wrapText="1"/>
    </xf>
    <xf numFmtId="44" fontId="8" fillId="11" borderId="11" xfId="1" applyFont="1" applyFill="1" applyBorder="1" applyAlignment="1">
      <alignment horizontal="center" vertical="center" wrapText="1"/>
    </xf>
    <xf numFmtId="165" fontId="8" fillId="11" borderId="11" xfId="1" applyNumberFormat="1" applyFont="1" applyFill="1" applyBorder="1" applyAlignment="1">
      <alignment horizontal="center" vertical="center" wrapText="1"/>
    </xf>
    <xf numFmtId="165" fontId="32" fillId="11" borderId="11" xfId="1" applyNumberFormat="1" applyFont="1" applyFill="1" applyBorder="1" applyAlignment="1">
      <alignment horizontal="center" vertical="center" wrapText="1"/>
    </xf>
    <xf numFmtId="44" fontId="8" fillId="11" borderId="11" xfId="1" applyFont="1" applyFill="1" applyBorder="1" applyAlignment="1">
      <alignment vertical="center" wrapText="1"/>
    </xf>
    <xf numFmtId="44" fontId="32" fillId="11" borderId="11" xfId="1" applyFont="1" applyFill="1" applyBorder="1" applyAlignment="1">
      <alignment vertical="center" wrapText="1"/>
    </xf>
    <xf numFmtId="0" fontId="8" fillId="11" borderId="24" xfId="0" applyFont="1" applyFill="1" applyBorder="1" applyAlignment="1">
      <alignment horizontal="left" vertical="center" wrapText="1"/>
    </xf>
    <xf numFmtId="44" fontId="8" fillId="11" borderId="25" xfId="1" applyFont="1" applyFill="1" applyBorder="1" applyAlignment="1">
      <alignment horizontal="center" vertical="center" wrapText="1"/>
    </xf>
    <xf numFmtId="13" fontId="8" fillId="11" borderId="25" xfId="1" applyNumberFormat="1" applyFont="1" applyFill="1" applyBorder="1" applyAlignment="1">
      <alignment horizontal="center" vertical="center" wrapText="1"/>
    </xf>
    <xf numFmtId="165" fontId="8" fillId="11" borderId="25" xfId="1" applyNumberFormat="1" applyFont="1" applyFill="1" applyBorder="1" applyAlignment="1">
      <alignment horizontal="center" vertical="center" wrapText="1"/>
    </xf>
    <xf numFmtId="165" fontId="32" fillId="11" borderId="25" xfId="1" applyNumberFormat="1" applyFont="1" applyFill="1" applyBorder="1" applyAlignment="1">
      <alignment horizontal="center" vertical="center" wrapText="1"/>
    </xf>
    <xf numFmtId="165" fontId="31" fillId="11" borderId="29" xfId="1" applyNumberFormat="1" applyFont="1" applyFill="1" applyBorder="1" applyAlignment="1">
      <alignment horizontal="center" vertical="center" wrapText="1"/>
    </xf>
    <xf numFmtId="0" fontId="8" fillId="11" borderId="10" xfId="0" applyFont="1" applyFill="1" applyBorder="1" applyAlignment="1">
      <alignment horizontal="left" vertical="center" wrapText="1"/>
    </xf>
    <xf numFmtId="165" fontId="8" fillId="11" borderId="12" xfId="1" applyNumberFormat="1" applyFont="1" applyFill="1" applyBorder="1" applyAlignment="1">
      <alignment horizontal="center" vertical="center" wrapText="1"/>
    </xf>
    <xf numFmtId="44" fontId="8" fillId="11" borderId="12" xfId="1" applyFont="1" applyFill="1" applyBorder="1" applyAlignment="1">
      <alignment vertical="center" wrapText="1"/>
    </xf>
    <xf numFmtId="0" fontId="8" fillId="11" borderId="14" xfId="0" applyFont="1" applyFill="1" applyBorder="1" applyAlignment="1">
      <alignment horizontal="left" vertical="center" wrapText="1"/>
    </xf>
    <xf numFmtId="44" fontId="8" fillId="11" borderId="15" xfId="1" applyFont="1" applyFill="1" applyBorder="1" applyAlignment="1">
      <alignment horizontal="center" vertical="center" wrapText="1"/>
    </xf>
    <xf numFmtId="165" fontId="8" fillId="11" borderId="15" xfId="1" applyNumberFormat="1" applyFont="1" applyFill="1" applyBorder="1" applyAlignment="1">
      <alignment horizontal="center" vertical="center" wrapText="1"/>
    </xf>
    <xf numFmtId="165" fontId="32" fillId="11" borderId="15" xfId="1" applyNumberFormat="1" applyFont="1" applyFill="1" applyBorder="1" applyAlignment="1">
      <alignment horizontal="center" vertical="center" wrapText="1"/>
    </xf>
    <xf numFmtId="165" fontId="31" fillId="11" borderId="16" xfId="1" applyNumberFormat="1" applyFont="1" applyFill="1" applyBorder="1" applyAlignment="1">
      <alignment horizontal="center" vertical="center" wrapText="1"/>
    </xf>
    <xf numFmtId="0" fontId="8" fillId="2" borderId="55" xfId="0" applyFont="1" applyFill="1" applyBorder="1" applyAlignment="1">
      <alignment horizontal="center" vertical="center" wrapText="1"/>
    </xf>
    <xf numFmtId="0" fontId="8" fillId="2" borderId="61" xfId="0" applyFont="1" applyFill="1" applyBorder="1" applyAlignment="1">
      <alignment horizontal="center" vertical="center" wrapText="1"/>
    </xf>
    <xf numFmtId="0" fontId="8" fillId="9" borderId="54" xfId="0" applyFont="1" applyFill="1" applyBorder="1" applyAlignment="1">
      <alignment horizontal="left" vertical="center" wrapText="1" indent="1"/>
    </xf>
    <xf numFmtId="0" fontId="8" fillId="9" borderId="55" xfId="0" applyFont="1" applyFill="1" applyBorder="1" applyAlignment="1">
      <alignment horizontal="left" vertical="center" wrapText="1" indent="1"/>
    </xf>
    <xf numFmtId="0" fontId="8" fillId="9" borderId="61" xfId="0" applyFont="1" applyFill="1" applyBorder="1" applyAlignment="1">
      <alignment horizontal="left" vertical="center" wrapText="1" indent="1"/>
    </xf>
    <xf numFmtId="0" fontId="8" fillId="9" borderId="56" xfId="0" applyFont="1" applyFill="1" applyBorder="1" applyAlignment="1">
      <alignment horizontal="left" vertical="center" wrapText="1" indent="1"/>
    </xf>
    <xf numFmtId="0" fontId="8" fillId="4" borderId="54" xfId="0" applyFont="1" applyFill="1" applyBorder="1" applyAlignment="1">
      <alignment horizontal="left" vertical="center" wrapText="1" indent="1"/>
    </xf>
    <xf numFmtId="0" fontId="8" fillId="11" borderId="54" xfId="0" applyFont="1" applyFill="1" applyBorder="1" applyAlignment="1">
      <alignment horizontal="left" vertical="center" wrapText="1" indent="1"/>
    </xf>
    <xf numFmtId="0" fontId="8" fillId="11" borderId="55" xfId="0" applyFont="1" applyFill="1" applyBorder="1" applyAlignment="1">
      <alignment horizontal="left" vertical="center" wrapText="1" indent="1"/>
    </xf>
    <xf numFmtId="0" fontId="8" fillId="11" borderId="56" xfId="0" applyFont="1" applyFill="1" applyBorder="1" applyAlignment="1">
      <alignment horizontal="left" vertical="center" wrapText="1" indent="1"/>
    </xf>
    <xf numFmtId="16" fontId="8" fillId="2" borderId="13" xfId="0" applyNumberFormat="1" applyFont="1" applyFill="1" applyBorder="1" applyAlignment="1">
      <alignment horizontal="center" vertical="center" wrapText="1"/>
    </xf>
    <xf numFmtId="16" fontId="8" fillId="2" borderId="62" xfId="0" applyNumberFormat="1" applyFont="1" applyFill="1" applyBorder="1" applyAlignment="1">
      <alignment horizontal="center" vertical="center" wrapText="1"/>
    </xf>
    <xf numFmtId="44" fontId="8" fillId="5" borderId="53" xfId="1" applyFont="1" applyFill="1" applyBorder="1" applyAlignment="1">
      <alignment horizontal="center" vertical="center" wrapText="1"/>
    </xf>
    <xf numFmtId="44" fontId="8" fillId="5" borderId="13" xfId="1" applyFont="1" applyFill="1" applyBorder="1" applyAlignment="1">
      <alignment horizontal="center" vertical="center" wrapText="1"/>
    </xf>
    <xf numFmtId="44" fontId="8" fillId="5" borderId="62" xfId="1" applyFont="1" applyFill="1" applyBorder="1" applyAlignment="1">
      <alignment horizontal="center" vertical="center" wrapText="1"/>
    </xf>
    <xf numFmtId="44" fontId="8" fillId="5" borderId="17" xfId="1" applyFont="1" applyFill="1" applyBorder="1" applyAlignment="1">
      <alignment horizontal="center" vertical="center" wrapText="1"/>
    </xf>
    <xf numFmtId="44" fontId="8" fillId="11" borderId="53" xfId="1" applyFont="1" applyFill="1" applyBorder="1" applyAlignment="1">
      <alignment horizontal="center" vertical="center" wrapText="1"/>
    </xf>
    <xf numFmtId="44" fontId="8" fillId="11" borderId="13" xfId="1" applyFont="1" applyFill="1" applyBorder="1" applyAlignment="1">
      <alignment horizontal="center" vertical="center" wrapText="1"/>
    </xf>
    <xf numFmtId="44" fontId="8" fillId="11" borderId="17" xfId="1" applyFont="1" applyFill="1" applyBorder="1" applyAlignment="1">
      <alignment horizontal="center" vertical="center" wrapText="1"/>
    </xf>
    <xf numFmtId="0" fontId="8" fillId="2" borderId="34" xfId="0" applyFont="1" applyFill="1" applyBorder="1" applyAlignment="1">
      <alignment horizontal="center" vertical="center" wrapText="1"/>
    </xf>
    <xf numFmtId="0" fontId="8" fillId="2" borderId="57" xfId="0" applyFont="1" applyFill="1" applyBorder="1" applyAlignment="1">
      <alignment horizontal="center" vertical="center" wrapText="1"/>
    </xf>
    <xf numFmtId="0" fontId="8" fillId="9" borderId="34" xfId="0" applyFont="1" applyFill="1" applyBorder="1" applyAlignment="1">
      <alignment horizontal="center" vertical="center" wrapText="1"/>
    </xf>
    <xf numFmtId="0" fontId="8" fillId="9" borderId="36" xfId="0" applyFont="1" applyFill="1" applyBorder="1" applyAlignment="1">
      <alignment horizontal="center" vertical="center" wrapText="1"/>
    </xf>
    <xf numFmtId="0" fontId="8" fillId="4" borderId="34" xfId="0" applyFont="1" applyFill="1" applyBorder="1" applyAlignment="1">
      <alignment horizontal="center" vertical="center" wrapText="1"/>
    </xf>
    <xf numFmtId="0" fontId="8" fillId="11" borderId="34" xfId="0" applyFont="1" applyFill="1" applyBorder="1" applyAlignment="1">
      <alignment horizontal="center" vertical="center" wrapText="1"/>
    </xf>
    <xf numFmtId="0" fontId="8" fillId="11" borderId="36" xfId="0" applyFont="1" applyFill="1" applyBorder="1" applyAlignment="1">
      <alignment horizontal="center" vertical="center" wrapText="1"/>
    </xf>
    <xf numFmtId="0" fontId="8" fillId="11" borderId="37" xfId="0" applyFont="1" applyFill="1" applyBorder="1" applyAlignment="1">
      <alignment horizontal="center" vertical="center" wrapText="1"/>
    </xf>
    <xf numFmtId="0" fontId="8" fillId="9" borderId="20" xfId="0" applyFont="1" applyFill="1" applyBorder="1" applyAlignment="1">
      <alignment horizontal="left" vertical="center" wrapText="1"/>
    </xf>
    <xf numFmtId="0" fontId="8" fillId="9" borderId="19" xfId="0" applyFont="1" applyFill="1" applyBorder="1" applyAlignment="1">
      <alignment horizontal="left" vertical="center" wrapText="1" indent="1"/>
    </xf>
    <xf numFmtId="0" fontId="8" fillId="9" borderId="35" xfId="0" applyFont="1" applyFill="1" applyBorder="1" applyAlignment="1">
      <alignment horizontal="center" vertical="center" wrapText="1"/>
    </xf>
    <xf numFmtId="44" fontId="8" fillId="5" borderId="63" xfId="1" applyFont="1" applyFill="1" applyBorder="1" applyAlignment="1">
      <alignment horizontal="center" vertical="center" wrapText="1"/>
    </xf>
    <xf numFmtId="44" fontId="8" fillId="9" borderId="18" xfId="1" applyFont="1" applyFill="1" applyBorder="1" applyAlignment="1">
      <alignment horizontal="center" vertical="center" wrapText="1"/>
    </xf>
    <xf numFmtId="44" fontId="8" fillId="9" borderId="64" xfId="1" applyFont="1" applyFill="1" applyBorder="1" applyAlignment="1">
      <alignment horizontal="center" vertical="center" wrapText="1"/>
    </xf>
    <xf numFmtId="165" fontId="8" fillId="9" borderId="64" xfId="1" applyNumberFormat="1" applyFont="1" applyFill="1" applyBorder="1" applyAlignment="1">
      <alignment horizontal="center" vertical="center" wrapText="1"/>
    </xf>
    <xf numFmtId="165" fontId="32" fillId="9" borderId="64" xfId="1" applyNumberFormat="1" applyFont="1" applyFill="1" applyBorder="1" applyAlignment="1">
      <alignment horizontal="center" vertical="center" wrapText="1"/>
    </xf>
    <xf numFmtId="165" fontId="31" fillId="9" borderId="64" xfId="1" applyNumberFormat="1" applyFont="1" applyFill="1" applyBorder="1" applyAlignment="1">
      <alignment horizontal="center" vertical="center" wrapText="1"/>
    </xf>
    <xf numFmtId="0" fontId="8" fillId="4" borderId="21" xfId="0" applyFont="1" applyFill="1" applyBorder="1" applyAlignment="1">
      <alignment horizontal="left" vertical="center" wrapText="1"/>
    </xf>
    <xf numFmtId="0" fontId="8" fillId="4" borderId="65" xfId="0" applyFont="1" applyFill="1" applyBorder="1" applyAlignment="1">
      <alignment horizontal="left" vertical="center" wrapText="1" indent="1"/>
    </xf>
    <xf numFmtId="0" fontId="4" fillId="4" borderId="59" xfId="0" applyFont="1" applyFill="1" applyBorder="1" applyAlignment="1">
      <alignment horizontal="center" vertical="center" wrapText="1"/>
    </xf>
    <xf numFmtId="44" fontId="8" fillId="5" borderId="66" xfId="1" applyFont="1" applyFill="1" applyBorder="1" applyAlignment="1">
      <alignment horizontal="right" vertical="center" wrapText="1"/>
    </xf>
    <xf numFmtId="44" fontId="8" fillId="5" borderId="22" xfId="1" applyFont="1" applyFill="1" applyBorder="1" applyAlignment="1">
      <alignment horizontal="right" vertical="center" wrapText="1"/>
    </xf>
    <xf numFmtId="44" fontId="8" fillId="5" borderId="22" xfId="1" applyFont="1" applyFill="1" applyBorder="1" applyAlignment="1">
      <alignment horizontal="center" vertical="center" wrapText="1"/>
    </xf>
    <xf numFmtId="13" fontId="8" fillId="5" borderId="22" xfId="1" applyNumberFormat="1" applyFont="1" applyFill="1" applyBorder="1" applyAlignment="1">
      <alignment horizontal="center" vertical="center" wrapText="1"/>
    </xf>
    <xf numFmtId="44" fontId="8" fillId="4" borderId="22" xfId="1" applyFont="1" applyFill="1" applyBorder="1" applyAlignment="1">
      <alignment horizontal="center" vertical="center" wrapText="1"/>
    </xf>
    <xf numFmtId="44" fontId="8" fillId="4" borderId="23" xfId="1" applyFont="1" applyFill="1" applyBorder="1" applyAlignment="1">
      <alignment horizontal="center" vertical="center" wrapText="1"/>
    </xf>
    <xf numFmtId="165" fontId="8" fillId="4" borderId="23" xfId="1" applyNumberFormat="1" applyFont="1" applyFill="1" applyBorder="1" applyAlignment="1">
      <alignment horizontal="center" vertical="center" wrapText="1"/>
    </xf>
    <xf numFmtId="165" fontId="32" fillId="4" borderId="23" xfId="1" applyNumberFormat="1" applyFont="1" applyFill="1" applyBorder="1" applyAlignment="1">
      <alignment horizontal="center" vertical="center" wrapText="1"/>
    </xf>
    <xf numFmtId="0" fontId="8" fillId="4" borderId="10" xfId="0" applyFont="1" applyFill="1" applyBorder="1" applyAlignment="1">
      <alignment horizontal="left" vertical="center" wrapText="1"/>
    </xf>
    <xf numFmtId="0" fontId="8" fillId="4" borderId="55" xfId="0" applyFont="1" applyFill="1" applyBorder="1" applyAlignment="1">
      <alignment horizontal="left" vertical="center" wrapText="1" indent="1"/>
    </xf>
    <xf numFmtId="0" fontId="4" fillId="4" borderId="36" xfId="0" applyFont="1" applyFill="1" applyBorder="1" applyAlignment="1">
      <alignment horizontal="center" vertical="center" wrapText="1"/>
    </xf>
    <xf numFmtId="44" fontId="8" fillId="5" borderId="13" xfId="1" applyFont="1" applyFill="1" applyBorder="1" applyAlignment="1">
      <alignment horizontal="right" vertical="center" wrapText="1"/>
    </xf>
    <xf numFmtId="13" fontId="8" fillId="5" borderId="11" xfId="1" applyNumberFormat="1" applyFont="1" applyFill="1" applyBorder="1" applyAlignment="1">
      <alignment horizontal="center" vertical="center" wrapText="1"/>
    </xf>
    <xf numFmtId="44" fontId="8" fillId="4" borderId="11" xfId="1" applyFont="1" applyFill="1" applyBorder="1" applyAlignment="1">
      <alignment horizontal="center" vertical="center" wrapText="1"/>
    </xf>
    <xf numFmtId="44" fontId="8" fillId="4" borderId="12" xfId="1" applyFont="1" applyFill="1" applyBorder="1" applyAlignment="1">
      <alignment horizontal="center" vertical="center" wrapText="1"/>
    </xf>
    <xf numFmtId="165" fontId="8" fillId="4" borderId="12" xfId="1" applyNumberFormat="1" applyFont="1" applyFill="1" applyBorder="1" applyAlignment="1">
      <alignment horizontal="center" vertical="center" wrapText="1"/>
    </xf>
    <xf numFmtId="165" fontId="32" fillId="4" borderId="12" xfId="1" applyNumberFormat="1" applyFont="1" applyFill="1" applyBorder="1" applyAlignment="1">
      <alignment horizontal="center" vertical="center" wrapText="1"/>
    </xf>
    <xf numFmtId="0" fontId="8" fillId="15" borderId="18" xfId="0" applyFont="1" applyFill="1" applyBorder="1" applyAlignment="1">
      <alignment horizontal="left" vertical="center" wrapText="1"/>
    </xf>
    <xf numFmtId="0" fontId="8" fillId="15" borderId="18" xfId="0" applyFont="1" applyFill="1" applyBorder="1" applyAlignment="1">
      <alignment horizontal="left" vertical="center" wrapText="1" indent="1"/>
    </xf>
    <xf numFmtId="0" fontId="8" fillId="15" borderId="18" xfId="0" applyFont="1" applyFill="1" applyBorder="1" applyAlignment="1">
      <alignment horizontal="center" vertical="center" wrapText="1"/>
    </xf>
    <xf numFmtId="165" fontId="8" fillId="5" borderId="18" xfId="1" applyNumberFormat="1" applyFont="1" applyFill="1" applyBorder="1" applyAlignment="1">
      <alignment horizontal="center" vertical="center" wrapText="1"/>
    </xf>
    <xf numFmtId="165" fontId="32" fillId="5" borderId="18" xfId="1" applyNumberFormat="1" applyFont="1" applyFill="1" applyBorder="1" applyAlignment="1">
      <alignment horizontal="center" vertical="center" wrapText="1"/>
    </xf>
    <xf numFmtId="0" fontId="8" fillId="10" borderId="24" xfId="0" applyFont="1" applyFill="1" applyBorder="1" applyAlignment="1">
      <alignment horizontal="left" vertical="center" wrapText="1"/>
    </xf>
    <xf numFmtId="44" fontId="8" fillId="10" borderId="25" xfId="1" applyFont="1" applyFill="1" applyBorder="1" applyAlignment="1">
      <alignment horizontal="center" vertical="center" wrapText="1"/>
    </xf>
    <xf numFmtId="165" fontId="8" fillId="10" borderId="25" xfId="1" applyNumberFormat="1" applyFont="1" applyFill="1" applyBorder="1" applyAlignment="1">
      <alignment horizontal="center" vertical="center" wrapText="1"/>
    </xf>
    <xf numFmtId="165" fontId="32" fillId="10" borderId="25" xfId="1" applyNumberFormat="1" applyFont="1" applyFill="1" applyBorder="1" applyAlignment="1">
      <alignment horizontal="center" vertical="center" wrapText="1"/>
    </xf>
    <xf numFmtId="165" fontId="8" fillId="10" borderId="29" xfId="1" applyNumberFormat="1" applyFont="1" applyFill="1" applyBorder="1" applyAlignment="1">
      <alignment horizontal="center" vertical="center" wrapText="1"/>
    </xf>
    <xf numFmtId="0" fontId="8" fillId="10" borderId="14" xfId="0" applyFont="1" applyFill="1" applyBorder="1" applyAlignment="1">
      <alignment horizontal="left" vertical="center" wrapText="1"/>
    </xf>
    <xf numFmtId="44" fontId="8" fillId="10" borderId="15" xfId="1" applyFont="1" applyFill="1" applyBorder="1" applyAlignment="1">
      <alignment horizontal="center" vertical="center" wrapText="1"/>
    </xf>
    <xf numFmtId="165" fontId="8" fillId="10" borderId="15" xfId="1" applyNumberFormat="1" applyFont="1" applyFill="1" applyBorder="1" applyAlignment="1">
      <alignment horizontal="center" vertical="center" wrapText="1"/>
    </xf>
    <xf numFmtId="165" fontId="32" fillId="10" borderId="15" xfId="1" applyNumberFormat="1" applyFont="1" applyFill="1" applyBorder="1" applyAlignment="1">
      <alignment horizontal="center" vertical="center" wrapText="1"/>
    </xf>
    <xf numFmtId="165" fontId="8" fillId="10" borderId="16" xfId="1" applyNumberFormat="1" applyFont="1" applyFill="1" applyBorder="1" applyAlignment="1">
      <alignment horizontal="center" vertical="center" wrapText="1"/>
    </xf>
    <xf numFmtId="0" fontId="8" fillId="10" borderId="54" xfId="0" applyFont="1" applyFill="1" applyBorder="1" applyAlignment="1">
      <alignment horizontal="left" vertical="center" wrapText="1" indent="1"/>
    </xf>
    <xf numFmtId="0" fontId="8" fillId="10" borderId="56" xfId="0" applyFont="1" applyFill="1" applyBorder="1" applyAlignment="1">
      <alignment horizontal="left" vertical="center" wrapText="1" indent="1"/>
    </xf>
    <xf numFmtId="0" fontId="8" fillId="10" borderId="34" xfId="0" applyFont="1" applyFill="1" applyBorder="1" applyAlignment="1">
      <alignment horizontal="center" vertical="center" wrapText="1"/>
    </xf>
    <xf numFmtId="0" fontId="8" fillId="10" borderId="37" xfId="0" applyFont="1" applyFill="1" applyBorder="1" applyAlignment="1">
      <alignment horizontal="center" vertical="center" wrapText="1"/>
    </xf>
  </cellXfs>
  <cellStyles count="3">
    <cellStyle name="Денежный" xfId="1" builtinId="4"/>
    <cellStyle name="Обычный" xfId="0" builtinId="0"/>
    <cellStyle name="Процентный" xfId="2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5" Type="http://schemas.openxmlformats.org/officeDocument/2006/relationships/image" Target="../media/image5.png"/><Relationship Id="rId4" Type="http://schemas.openxmlformats.org/officeDocument/2006/relationships/image" Target="../media/image4.png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image" Target="../media/image3.png"/><Relationship Id="rId1" Type="http://schemas.openxmlformats.org/officeDocument/2006/relationships/image" Target="../media/image6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19</xdr:col>
      <xdr:colOff>190500</xdr:colOff>
      <xdr:row>12</xdr:row>
      <xdr:rowOff>381000</xdr:rowOff>
    </xdr:from>
    <xdr:to>
      <xdr:col>26</xdr:col>
      <xdr:colOff>247107</xdr:colOff>
      <xdr:row>21</xdr:row>
      <xdr:rowOff>246869</xdr:rowOff>
    </xdr:to>
    <xdr:pic>
      <xdr:nvPicPr>
        <xdr:cNvPr id="2" name="Рисунок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9254107" y="6517821"/>
          <a:ext cx="4342857" cy="6247619"/>
        </a:xfrm>
        <a:prstGeom prst="rect">
          <a:avLst/>
        </a:prstGeom>
      </xdr:spPr>
    </xdr:pic>
    <xdr:clientData/>
  </xdr:twoCellAnchor>
  <xdr:twoCellAnchor editAs="oneCell">
    <xdr:from>
      <xdr:col>5</xdr:col>
      <xdr:colOff>1142999</xdr:colOff>
      <xdr:row>12</xdr:row>
      <xdr:rowOff>54429</xdr:rowOff>
    </xdr:from>
    <xdr:to>
      <xdr:col>10</xdr:col>
      <xdr:colOff>473527</xdr:colOff>
      <xdr:row>21</xdr:row>
      <xdr:rowOff>461283</xdr:rowOff>
    </xdr:to>
    <xdr:pic>
      <xdr:nvPicPr>
        <xdr:cNvPr id="3" name="Рисунок 2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11392" y="6191250"/>
          <a:ext cx="4514850" cy="678860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5</xdr:col>
      <xdr:colOff>312965</xdr:colOff>
      <xdr:row>10</xdr:row>
      <xdr:rowOff>122464</xdr:rowOff>
    </xdr:from>
    <xdr:to>
      <xdr:col>9</xdr:col>
      <xdr:colOff>208190</xdr:colOff>
      <xdr:row>20</xdr:row>
      <xdr:rowOff>1028700</xdr:rowOff>
    </xdr:to>
    <xdr:pic>
      <xdr:nvPicPr>
        <xdr:cNvPr id="4" name="Рисунок 3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157608" y="5565321"/>
          <a:ext cx="4467225" cy="68389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11</xdr:col>
      <xdr:colOff>108856</xdr:colOff>
      <xdr:row>13</xdr:row>
      <xdr:rowOff>381000</xdr:rowOff>
    </xdr:from>
    <xdr:to>
      <xdr:col>18</xdr:col>
      <xdr:colOff>184511</xdr:colOff>
      <xdr:row>22</xdr:row>
      <xdr:rowOff>565215</xdr:rowOff>
    </xdr:to>
    <xdr:pic>
      <xdr:nvPicPr>
        <xdr:cNvPr id="5" name="Рисунок 4">
          <a:extLst>
            <a:ext uri="{FF2B5EF4-FFF2-40B4-BE49-F238E27FC236}">
              <a16:creationId xmlns:a16="http://schemas.microsoft.com/office/drawing/2014/main" id="{00000000-0008-0000-0000-000005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14750142" y="7007679"/>
          <a:ext cx="4361905" cy="6742857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55</xdr:row>
      <xdr:rowOff>0</xdr:rowOff>
    </xdr:from>
    <xdr:to>
      <xdr:col>8</xdr:col>
      <xdr:colOff>478416</xdr:colOff>
      <xdr:row>67</xdr:row>
      <xdr:rowOff>173333</xdr:rowOff>
    </xdr:to>
    <xdr:pic>
      <xdr:nvPicPr>
        <xdr:cNvPr id="6" name="Рисунок 5">
          <a:extLst>
            <a:ext uri="{FF2B5EF4-FFF2-40B4-BE49-F238E27FC236}">
              <a16:creationId xmlns:a16="http://schemas.microsoft.com/office/drawing/2014/main" id="{5573D9D8-DE92-425C-A187-531172C550E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8844643" y="31636607"/>
          <a:ext cx="4438095" cy="6704762"/>
        </a:xfrm>
        <a:prstGeom prst="rect">
          <a:avLst/>
        </a:prstGeom>
      </xdr:spPr>
    </xdr:pic>
    <xdr:clientData/>
  </xdr:twoCellAnchor>
  <xdr:oneCellAnchor>
    <xdr:from>
      <xdr:col>5</xdr:col>
      <xdr:colOff>0</xdr:colOff>
      <xdr:row>71</xdr:row>
      <xdr:rowOff>0</xdr:rowOff>
    </xdr:from>
    <xdr:ext cx="4438095" cy="6704762"/>
    <xdr:pic>
      <xdr:nvPicPr>
        <xdr:cNvPr id="7" name="Рисунок 6">
          <a:extLst>
            <a:ext uri="{FF2B5EF4-FFF2-40B4-BE49-F238E27FC236}">
              <a16:creationId xmlns:a16="http://schemas.microsoft.com/office/drawing/2014/main" id="{222D8416-7D6B-4A55-A1DC-9E218BC2491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8844643" y="31636607"/>
          <a:ext cx="4438095" cy="6704762"/>
        </a:xfrm>
        <a:prstGeom prst="rect">
          <a:avLst/>
        </a:prstGeom>
      </xdr:spPr>
    </xdr:pic>
    <xdr:clientData/>
  </xdr:one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2</xdr:row>
      <xdr:rowOff>114300</xdr:rowOff>
    </xdr:to>
    <xdr:sp macro="" textlink="">
      <xdr:nvSpPr>
        <xdr:cNvPr id="1025" name="AutoShape 1" descr="blob:https://web.whatsapp.com/2c68c039-a2f3-4fc3-8271-60c2dd8f2748">
          <a:extLst>
            <a:ext uri="{FF2B5EF4-FFF2-40B4-BE49-F238E27FC236}">
              <a16:creationId xmlns:a16="http://schemas.microsoft.com/office/drawing/2014/main" id="{00000000-0008-0000-0200-000001040000}"/>
            </a:ext>
          </a:extLst>
        </xdr:cNvPr>
        <xdr:cNvSpPr>
          <a:spLocks noChangeAspect="1" noChangeArrowheads="1"/>
        </xdr:cNvSpPr>
      </xdr:nvSpPr>
      <xdr:spPr bwMode="auto">
        <a:xfrm>
          <a:off x="609600" y="190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3</xdr:col>
      <xdr:colOff>2323279</xdr:colOff>
      <xdr:row>23</xdr:row>
      <xdr:rowOff>142333</xdr:rowOff>
    </xdr:to>
    <xdr:pic>
      <xdr:nvPicPr>
        <xdr:cNvPr id="2" name="Рисунок 1">
          <a:extLst>
            <a:ext uri="{FF2B5EF4-FFF2-40B4-BE49-F238E27FC236}">
              <a16:creationId xmlns:a16="http://schemas.microsoft.com/office/drawing/2014/main" id="{00000000-0008-0000-02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609600" y="190500"/>
          <a:ext cx="6571429" cy="4333333"/>
        </a:xfrm>
        <a:prstGeom prst="rect">
          <a:avLst/>
        </a:prstGeom>
      </xdr:spPr>
    </xdr:pic>
    <xdr:clientData/>
  </xdr:twoCellAnchor>
  <xdr:twoCellAnchor editAs="oneCell">
    <xdr:from>
      <xdr:col>2</xdr:col>
      <xdr:colOff>1733550</xdr:colOff>
      <xdr:row>102</xdr:row>
      <xdr:rowOff>590550</xdr:rowOff>
    </xdr:from>
    <xdr:to>
      <xdr:col>5</xdr:col>
      <xdr:colOff>295275</xdr:colOff>
      <xdr:row>114</xdr:row>
      <xdr:rowOff>19050</xdr:rowOff>
    </xdr:to>
    <xdr:pic>
      <xdr:nvPicPr>
        <xdr:cNvPr id="4" name="Рисунок 3">
          <a:extLst>
            <a:ext uri="{FF2B5EF4-FFF2-40B4-BE49-F238E27FC236}">
              <a16:creationId xmlns:a16="http://schemas.microsoft.com/office/drawing/2014/main" id="{00000000-0008-0000-0200-000004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438650" y="38852475"/>
          <a:ext cx="4467225" cy="68389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3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4FB7A57-68AD-40A7-8ED0-46E01710F22F}">
  <dimension ref="B1:BC66"/>
  <sheetViews>
    <sheetView tabSelected="1" zoomScale="90" zoomScaleNormal="90" workbookViewId="0">
      <pane xSplit="3" ySplit="3" topLeftCell="D4" activePane="bottomRight" state="frozen"/>
      <selection pane="topRight" activeCell="D1" sqref="D1"/>
      <selection pane="bottomLeft" activeCell="A4" sqref="A4"/>
      <selection pane="bottomRight" activeCell="C21" sqref="C21"/>
    </sheetView>
  </sheetViews>
  <sheetFormatPr defaultRowHeight="48.75" customHeight="1" x14ac:dyDescent="0.25"/>
  <cols>
    <col min="1" max="1" width="2.7109375" customWidth="1"/>
    <col min="2" max="2" width="28.7109375" style="111" customWidth="1"/>
    <col min="3" max="3" width="34" style="29" customWidth="1"/>
    <col min="4" max="4" width="9.42578125" style="1" customWidth="1"/>
    <col min="5" max="5" width="22" style="29" hidden="1" customWidth="1"/>
    <col min="6" max="14" width="22" style="103" hidden="1" customWidth="1"/>
    <col min="15" max="33" width="23.5703125" style="103" hidden="1" customWidth="1"/>
    <col min="34" max="48" width="20.28515625" style="103" hidden="1" customWidth="1"/>
    <col min="49" max="49" width="15.7109375" style="103" bestFit="1" customWidth="1"/>
    <col min="50" max="52" width="15.7109375" bestFit="1" customWidth="1"/>
    <col min="53" max="53" width="15.5703125" bestFit="1" customWidth="1"/>
    <col min="54" max="54" width="15.5703125" style="251" bestFit="1" customWidth="1"/>
    <col min="55" max="55" width="18.85546875" customWidth="1"/>
  </cols>
  <sheetData>
    <row r="1" spans="2:55" ht="48.75" customHeight="1" thickBot="1" x14ac:dyDescent="0.3"/>
    <row r="2" spans="2:55" ht="48.75" customHeight="1" x14ac:dyDescent="0.25">
      <c r="B2" s="275" t="s">
        <v>24</v>
      </c>
      <c r="C2" s="306"/>
      <c r="D2" s="325" t="s">
        <v>123</v>
      </c>
      <c r="E2" s="316">
        <v>45636</v>
      </c>
      <c r="F2" s="113">
        <v>45637</v>
      </c>
      <c r="G2" s="113">
        <v>45638</v>
      </c>
      <c r="H2" s="113">
        <v>45639</v>
      </c>
      <c r="I2" s="113">
        <v>45642</v>
      </c>
      <c r="J2" s="113">
        <v>45645</v>
      </c>
      <c r="K2" s="113">
        <v>45646</v>
      </c>
      <c r="L2" s="113">
        <v>45649</v>
      </c>
      <c r="M2" s="113">
        <v>45654</v>
      </c>
      <c r="N2" s="113">
        <v>45670</v>
      </c>
      <c r="O2" s="113">
        <v>45670</v>
      </c>
      <c r="P2" s="113">
        <v>45677</v>
      </c>
      <c r="Q2" s="113">
        <v>45680</v>
      </c>
      <c r="R2" s="113">
        <v>45684</v>
      </c>
      <c r="S2" s="113">
        <v>45692</v>
      </c>
      <c r="T2" s="113">
        <v>45698</v>
      </c>
      <c r="U2" s="113">
        <v>45705</v>
      </c>
      <c r="V2" s="113">
        <v>45712</v>
      </c>
      <c r="W2" s="113">
        <v>45715</v>
      </c>
      <c r="X2" s="113">
        <v>45722</v>
      </c>
      <c r="Y2" s="113">
        <v>45736</v>
      </c>
      <c r="Z2" s="113">
        <v>45742</v>
      </c>
      <c r="AA2" s="113">
        <v>45772</v>
      </c>
      <c r="AB2" s="113">
        <v>45783</v>
      </c>
      <c r="AC2" s="113">
        <v>45854</v>
      </c>
      <c r="AD2" s="118">
        <v>45936</v>
      </c>
      <c r="AE2" s="118">
        <v>45939</v>
      </c>
      <c r="AF2" s="118">
        <v>45946</v>
      </c>
      <c r="AG2" s="118">
        <v>45950</v>
      </c>
      <c r="AH2" s="118">
        <v>45957</v>
      </c>
      <c r="AI2" s="118">
        <v>45978</v>
      </c>
      <c r="AJ2" s="118">
        <v>45988</v>
      </c>
      <c r="AK2" s="118">
        <v>45992</v>
      </c>
      <c r="AL2" s="118">
        <v>46000</v>
      </c>
      <c r="AM2" s="118">
        <v>46009</v>
      </c>
      <c r="AN2" s="118">
        <v>46021</v>
      </c>
      <c r="AO2" s="118">
        <v>46034</v>
      </c>
      <c r="AP2" s="118">
        <v>46037</v>
      </c>
      <c r="AQ2" s="118">
        <v>46107</v>
      </c>
      <c r="AR2" s="118">
        <v>46120</v>
      </c>
      <c r="AS2" s="118">
        <v>46132</v>
      </c>
      <c r="AT2" s="118">
        <v>46147</v>
      </c>
      <c r="AU2" s="118">
        <v>46162</v>
      </c>
      <c r="AV2" s="118">
        <v>46174</v>
      </c>
      <c r="AW2" s="119">
        <v>46188</v>
      </c>
      <c r="AX2" s="119">
        <v>46198</v>
      </c>
      <c r="AY2" s="119">
        <v>46205</v>
      </c>
      <c r="AZ2" s="119">
        <v>46217</v>
      </c>
      <c r="BA2" s="119">
        <v>46240</v>
      </c>
      <c r="BB2" s="246">
        <v>46245</v>
      </c>
      <c r="BC2" s="119">
        <v>46253</v>
      </c>
    </row>
    <row r="3" spans="2:55" ht="48.75" customHeight="1" thickBot="1" x14ac:dyDescent="0.3">
      <c r="B3" s="230" t="s">
        <v>21</v>
      </c>
      <c r="C3" s="307" t="s">
        <v>22</v>
      </c>
      <c r="D3" s="326"/>
      <c r="E3" s="317" t="s">
        <v>23</v>
      </c>
      <c r="F3" s="231" t="s">
        <v>23</v>
      </c>
      <c r="G3" s="231" t="s">
        <v>23</v>
      </c>
      <c r="H3" s="231" t="s">
        <v>23</v>
      </c>
      <c r="I3" s="231" t="s">
        <v>23</v>
      </c>
      <c r="J3" s="231" t="s">
        <v>23</v>
      </c>
      <c r="K3" s="231" t="s">
        <v>23</v>
      </c>
      <c r="L3" s="231" t="s">
        <v>23</v>
      </c>
      <c r="M3" s="231" t="s">
        <v>23</v>
      </c>
      <c r="N3" s="231" t="s">
        <v>23</v>
      </c>
      <c r="O3" s="231" t="s">
        <v>23</v>
      </c>
      <c r="P3" s="231" t="s">
        <v>23</v>
      </c>
      <c r="Q3" s="231" t="s">
        <v>23</v>
      </c>
      <c r="R3" s="231" t="s">
        <v>23</v>
      </c>
      <c r="S3" s="231" t="s">
        <v>23</v>
      </c>
      <c r="T3" s="231" t="s">
        <v>23</v>
      </c>
      <c r="U3" s="231" t="s">
        <v>23</v>
      </c>
      <c r="V3" s="231" t="s">
        <v>23</v>
      </c>
      <c r="W3" s="231" t="s">
        <v>23</v>
      </c>
      <c r="X3" s="231" t="s">
        <v>23</v>
      </c>
      <c r="Y3" s="231" t="s">
        <v>23</v>
      </c>
      <c r="Z3" s="231" t="s">
        <v>23</v>
      </c>
      <c r="AA3" s="231" t="s">
        <v>23</v>
      </c>
      <c r="AB3" s="231" t="s">
        <v>23</v>
      </c>
      <c r="AC3" s="231" t="s">
        <v>23</v>
      </c>
      <c r="AD3" s="231" t="s">
        <v>23</v>
      </c>
      <c r="AE3" s="231" t="s">
        <v>23</v>
      </c>
      <c r="AF3" s="231" t="s">
        <v>23</v>
      </c>
      <c r="AG3" s="231" t="s">
        <v>23</v>
      </c>
      <c r="AH3" s="231" t="s">
        <v>23</v>
      </c>
      <c r="AI3" s="231" t="s">
        <v>23</v>
      </c>
      <c r="AJ3" s="231" t="s">
        <v>23</v>
      </c>
      <c r="AK3" s="231" t="s">
        <v>23</v>
      </c>
      <c r="AL3" s="231" t="s">
        <v>23</v>
      </c>
      <c r="AM3" s="231" t="s">
        <v>23</v>
      </c>
      <c r="AN3" s="231" t="s">
        <v>23</v>
      </c>
      <c r="AO3" s="231" t="s">
        <v>23</v>
      </c>
      <c r="AP3" s="231" t="s">
        <v>23</v>
      </c>
      <c r="AQ3" s="231" t="s">
        <v>23</v>
      </c>
      <c r="AR3" s="231" t="s">
        <v>23</v>
      </c>
      <c r="AS3" s="231" t="s">
        <v>23</v>
      </c>
      <c r="AT3" s="231" t="s">
        <v>23</v>
      </c>
      <c r="AU3" s="231" t="s">
        <v>23</v>
      </c>
      <c r="AV3" s="231" t="s">
        <v>23</v>
      </c>
      <c r="AW3" s="231" t="s">
        <v>23</v>
      </c>
      <c r="AX3" s="231" t="s">
        <v>23</v>
      </c>
      <c r="AY3" s="231" t="s">
        <v>23</v>
      </c>
      <c r="AZ3" s="231" t="s">
        <v>23</v>
      </c>
      <c r="BA3" s="231" t="s">
        <v>23</v>
      </c>
      <c r="BB3" s="247" t="s">
        <v>23</v>
      </c>
      <c r="BC3" s="231" t="s">
        <v>23</v>
      </c>
    </row>
    <row r="4" spans="2:55" ht="48.75" customHeight="1" x14ac:dyDescent="0.25">
      <c r="B4" s="234" t="s">
        <v>285</v>
      </c>
      <c r="C4" s="308" t="s">
        <v>92</v>
      </c>
      <c r="D4" s="327" t="s">
        <v>124</v>
      </c>
      <c r="E4" s="318">
        <v>1175</v>
      </c>
      <c r="F4" s="235">
        <v>1086</v>
      </c>
      <c r="G4" s="235">
        <f>F4</f>
        <v>1086</v>
      </c>
      <c r="H4" s="236">
        <v>1118</v>
      </c>
      <c r="I4" s="235">
        <v>1118</v>
      </c>
      <c r="J4" s="235">
        <f>I4</f>
        <v>1118</v>
      </c>
      <c r="K4" s="236" t="s">
        <v>82</v>
      </c>
      <c r="L4" s="235" t="s">
        <v>82</v>
      </c>
      <c r="M4" s="235" t="s">
        <v>82</v>
      </c>
      <c r="N4" s="235" t="s">
        <v>82</v>
      </c>
      <c r="O4" s="236" t="s">
        <v>83</v>
      </c>
      <c r="P4" s="235" t="s">
        <v>83</v>
      </c>
      <c r="Q4" s="235" t="s">
        <v>83</v>
      </c>
      <c r="R4" s="235" t="s">
        <v>83</v>
      </c>
      <c r="S4" s="235" t="s">
        <v>83</v>
      </c>
      <c r="T4" s="235" t="s">
        <v>83</v>
      </c>
      <c r="U4" s="235" t="s">
        <v>83</v>
      </c>
      <c r="V4" s="235" t="s">
        <v>83</v>
      </c>
      <c r="W4" s="235" t="s">
        <v>83</v>
      </c>
      <c r="X4" s="235" t="s">
        <v>83</v>
      </c>
      <c r="Y4" s="235" t="s">
        <v>83</v>
      </c>
      <c r="Z4" s="235" t="s">
        <v>83</v>
      </c>
      <c r="AA4" s="235">
        <v>1020</v>
      </c>
      <c r="AB4" s="235"/>
      <c r="AC4" s="235"/>
      <c r="AD4" s="235" t="s">
        <v>97</v>
      </c>
      <c r="AE4" s="235" t="s">
        <v>97</v>
      </c>
      <c r="AF4" s="235" t="s">
        <v>100</v>
      </c>
      <c r="AG4" s="235" t="s">
        <v>100</v>
      </c>
      <c r="AH4" s="235" t="s">
        <v>101</v>
      </c>
      <c r="AI4" s="235">
        <v>1200</v>
      </c>
      <c r="AJ4" s="235">
        <v>1250</v>
      </c>
      <c r="AK4" s="235">
        <v>1250</v>
      </c>
      <c r="AL4" s="235" t="s">
        <v>109</v>
      </c>
      <c r="AM4" s="235">
        <v>1295</v>
      </c>
      <c r="AN4" s="235">
        <v>1357</v>
      </c>
      <c r="AO4" s="235">
        <v>1357</v>
      </c>
      <c r="AP4" s="235">
        <v>1400</v>
      </c>
      <c r="AQ4" s="235">
        <v>1400</v>
      </c>
      <c r="AR4" s="235">
        <v>1400</v>
      </c>
      <c r="AS4" s="235">
        <v>1400</v>
      </c>
      <c r="AT4" s="235" t="s">
        <v>115</v>
      </c>
      <c r="AU4" s="235" t="s">
        <v>115</v>
      </c>
      <c r="AV4" s="235" t="s">
        <v>116</v>
      </c>
      <c r="AW4" s="252" t="s">
        <v>116</v>
      </c>
      <c r="AX4" s="252" t="s">
        <v>163</v>
      </c>
      <c r="AY4" s="252" t="s">
        <v>169</v>
      </c>
      <c r="AZ4" s="253" t="s">
        <v>275</v>
      </c>
      <c r="BA4" s="254" t="s">
        <v>279</v>
      </c>
      <c r="BB4" s="255" t="s">
        <v>279</v>
      </c>
      <c r="BC4" s="256">
        <v>1600</v>
      </c>
    </row>
    <row r="5" spans="2:55" ht="48.75" customHeight="1" x14ac:dyDescent="0.25">
      <c r="B5" s="333" t="s">
        <v>284</v>
      </c>
      <c r="C5" s="334" t="s">
        <v>92</v>
      </c>
      <c r="D5" s="335" t="s">
        <v>124</v>
      </c>
      <c r="E5" s="336">
        <v>1175</v>
      </c>
      <c r="F5" s="232">
        <v>1086</v>
      </c>
      <c r="G5" s="232">
        <f>F5</f>
        <v>1086</v>
      </c>
      <c r="H5" s="233">
        <v>1118</v>
      </c>
      <c r="I5" s="232">
        <v>1118</v>
      </c>
      <c r="J5" s="232">
        <f>I5</f>
        <v>1118</v>
      </c>
      <c r="K5" s="233" t="s">
        <v>82</v>
      </c>
      <c r="L5" s="232" t="s">
        <v>82</v>
      </c>
      <c r="M5" s="232" t="s">
        <v>82</v>
      </c>
      <c r="N5" s="232" t="s">
        <v>82</v>
      </c>
      <c r="O5" s="233" t="s">
        <v>83</v>
      </c>
      <c r="P5" s="232" t="s">
        <v>83</v>
      </c>
      <c r="Q5" s="232" t="s">
        <v>83</v>
      </c>
      <c r="R5" s="232" t="s">
        <v>83</v>
      </c>
      <c r="S5" s="232" t="s">
        <v>83</v>
      </c>
      <c r="T5" s="232" t="s">
        <v>83</v>
      </c>
      <c r="U5" s="232" t="s">
        <v>83</v>
      </c>
      <c r="V5" s="232" t="s">
        <v>83</v>
      </c>
      <c r="W5" s="232" t="s">
        <v>83</v>
      </c>
      <c r="X5" s="232" t="s">
        <v>83</v>
      </c>
      <c r="Y5" s="232" t="s">
        <v>83</v>
      </c>
      <c r="Z5" s="232" t="s">
        <v>83</v>
      </c>
      <c r="AA5" s="232">
        <v>1021</v>
      </c>
      <c r="AB5" s="232"/>
      <c r="AC5" s="232"/>
      <c r="AD5" s="232" t="s">
        <v>97</v>
      </c>
      <c r="AE5" s="232" t="s">
        <v>97</v>
      </c>
      <c r="AF5" s="232" t="s">
        <v>100</v>
      </c>
      <c r="AG5" s="232" t="s">
        <v>100</v>
      </c>
      <c r="AH5" s="232" t="s">
        <v>101</v>
      </c>
      <c r="AI5" s="232">
        <v>1200</v>
      </c>
      <c r="AJ5" s="232">
        <v>1250</v>
      </c>
      <c r="AK5" s="232">
        <v>1250</v>
      </c>
      <c r="AL5" s="232" t="s">
        <v>281</v>
      </c>
      <c r="AM5" s="232">
        <v>1295</v>
      </c>
      <c r="AN5" s="232">
        <v>1357</v>
      </c>
      <c r="AO5" s="232">
        <v>1357</v>
      </c>
      <c r="AP5" s="232">
        <v>1400</v>
      </c>
      <c r="AQ5" s="232">
        <v>1400</v>
      </c>
      <c r="AR5" s="232">
        <v>1400</v>
      </c>
      <c r="AS5" s="232">
        <v>1400</v>
      </c>
      <c r="AT5" s="232" t="s">
        <v>115</v>
      </c>
      <c r="AU5" s="232" t="s">
        <v>115</v>
      </c>
      <c r="AV5" s="232" t="s">
        <v>116</v>
      </c>
      <c r="AW5" s="337" t="s">
        <v>116</v>
      </c>
      <c r="AX5" s="337" t="s">
        <v>163</v>
      </c>
      <c r="AY5" s="337" t="s">
        <v>282</v>
      </c>
      <c r="AZ5" s="338" t="s">
        <v>283</v>
      </c>
      <c r="BA5" s="339" t="s">
        <v>279</v>
      </c>
      <c r="BB5" s="340" t="s">
        <v>279</v>
      </c>
      <c r="BC5" s="341">
        <v>1700</v>
      </c>
    </row>
    <row r="6" spans="2:55" ht="48.75" customHeight="1" x14ac:dyDescent="0.25">
      <c r="B6" s="237" t="s">
        <v>51</v>
      </c>
      <c r="C6" s="309" t="s">
        <v>93</v>
      </c>
      <c r="D6" s="328" t="s">
        <v>124</v>
      </c>
      <c r="E6" s="319">
        <v>1228</v>
      </c>
      <c r="F6" s="112">
        <v>1228</v>
      </c>
      <c r="G6" s="112">
        <f t="shared" ref="G6:I27" si="0">F6</f>
        <v>1228</v>
      </c>
      <c r="H6" s="114">
        <v>1246</v>
      </c>
      <c r="I6" s="115">
        <v>1246</v>
      </c>
      <c r="J6" s="112">
        <f t="shared" ref="J6:AW27" si="1">I6</f>
        <v>1246</v>
      </c>
      <c r="K6" s="114">
        <f t="shared" si="1"/>
        <v>1246</v>
      </c>
      <c r="L6" s="112">
        <v>1270</v>
      </c>
      <c r="M6" s="112">
        <v>1270</v>
      </c>
      <c r="N6" s="112">
        <v>1270</v>
      </c>
      <c r="O6" s="112">
        <v>1270</v>
      </c>
      <c r="P6" s="114">
        <v>1299</v>
      </c>
      <c r="Q6" s="112">
        <v>1299</v>
      </c>
      <c r="R6" s="112">
        <v>1299</v>
      </c>
      <c r="S6" s="112">
        <v>1299</v>
      </c>
      <c r="T6" s="112">
        <v>1299</v>
      </c>
      <c r="U6" s="112">
        <v>1299</v>
      </c>
      <c r="V6" s="112">
        <v>1299</v>
      </c>
      <c r="W6" s="112">
        <v>1299</v>
      </c>
      <c r="X6" s="114">
        <v>1283</v>
      </c>
      <c r="Y6" s="114">
        <v>1268</v>
      </c>
      <c r="Z6" s="114">
        <v>1250</v>
      </c>
      <c r="AA6" s="114">
        <v>1184</v>
      </c>
      <c r="AB6" s="114"/>
      <c r="AC6" s="114"/>
      <c r="AD6" s="114">
        <v>1202</v>
      </c>
      <c r="AE6" s="114">
        <v>1225</v>
      </c>
      <c r="AF6" s="114">
        <v>1241</v>
      </c>
      <c r="AG6" s="114">
        <v>1241</v>
      </c>
      <c r="AH6" s="114">
        <v>1242</v>
      </c>
      <c r="AI6" s="114">
        <v>1263</v>
      </c>
      <c r="AJ6" s="114">
        <v>1263</v>
      </c>
      <c r="AK6" s="114">
        <v>1263</v>
      </c>
      <c r="AL6" s="114">
        <v>1290</v>
      </c>
      <c r="AM6" s="112">
        <v>1326</v>
      </c>
      <c r="AN6" s="112">
        <v>1357</v>
      </c>
      <c r="AO6" s="112">
        <v>1357</v>
      </c>
      <c r="AP6" s="112">
        <v>1397</v>
      </c>
      <c r="AQ6" s="112">
        <v>1465</v>
      </c>
      <c r="AR6" s="112">
        <v>1465</v>
      </c>
      <c r="AS6" s="112">
        <v>1465</v>
      </c>
      <c r="AT6" s="112">
        <v>1465</v>
      </c>
      <c r="AU6" s="112">
        <v>1475</v>
      </c>
      <c r="AV6" s="112">
        <v>1475</v>
      </c>
      <c r="AW6" s="257">
        <v>1475</v>
      </c>
      <c r="AX6" s="257">
        <v>1476</v>
      </c>
      <c r="AY6" s="257">
        <v>1508</v>
      </c>
      <c r="AZ6" s="258">
        <v>1584</v>
      </c>
      <c r="BA6" s="259">
        <v>1695</v>
      </c>
      <c r="BB6" s="260">
        <f>1428.5*1.22</f>
        <v>1742.77</v>
      </c>
      <c r="BC6" s="261">
        <f>1816</f>
        <v>1816</v>
      </c>
    </row>
    <row r="7" spans="2:55" ht="48.75" customHeight="1" x14ac:dyDescent="0.25">
      <c r="B7" s="266" t="s">
        <v>280</v>
      </c>
      <c r="C7" s="310"/>
      <c r="D7" s="328" t="s">
        <v>124</v>
      </c>
      <c r="E7" s="320"/>
      <c r="F7" s="267"/>
      <c r="G7" s="267"/>
      <c r="H7" s="268"/>
      <c r="I7" s="269"/>
      <c r="J7" s="267"/>
      <c r="K7" s="268"/>
      <c r="L7" s="267"/>
      <c r="M7" s="267"/>
      <c r="N7" s="267"/>
      <c r="O7" s="267"/>
      <c r="P7" s="268"/>
      <c r="Q7" s="267"/>
      <c r="R7" s="267"/>
      <c r="S7" s="267"/>
      <c r="T7" s="267"/>
      <c r="U7" s="267"/>
      <c r="V7" s="267"/>
      <c r="W7" s="267"/>
      <c r="X7" s="268"/>
      <c r="Y7" s="268"/>
      <c r="Z7" s="268"/>
      <c r="AA7" s="268"/>
      <c r="AB7" s="268"/>
      <c r="AC7" s="268"/>
      <c r="AD7" s="268"/>
      <c r="AE7" s="268"/>
      <c r="AF7" s="268"/>
      <c r="AG7" s="268"/>
      <c r="AH7" s="268"/>
      <c r="AI7" s="268"/>
      <c r="AJ7" s="268"/>
      <c r="AK7" s="268"/>
      <c r="AL7" s="268"/>
      <c r="AM7" s="267"/>
      <c r="AN7" s="267"/>
      <c r="AO7" s="267"/>
      <c r="AP7" s="267"/>
      <c r="AQ7" s="267"/>
      <c r="AR7" s="267"/>
      <c r="AS7" s="267"/>
      <c r="AT7" s="267"/>
      <c r="AU7" s="267"/>
      <c r="AV7" s="267"/>
      <c r="AW7" s="270"/>
      <c r="AX7" s="270"/>
      <c r="AY7" s="270"/>
      <c r="AZ7" s="271"/>
      <c r="BA7" s="272"/>
      <c r="BB7" s="273"/>
      <c r="BC7" s="274">
        <v>1600</v>
      </c>
    </row>
    <row r="8" spans="2:55" ht="48.75" customHeight="1" thickBot="1" x14ac:dyDescent="0.3">
      <c r="B8" s="238" t="s">
        <v>164</v>
      </c>
      <c r="C8" s="311"/>
      <c r="D8" s="328" t="s">
        <v>124</v>
      </c>
      <c r="E8" s="321"/>
      <c r="F8" s="239"/>
      <c r="G8" s="239"/>
      <c r="H8" s="240"/>
      <c r="I8" s="241"/>
      <c r="J8" s="239"/>
      <c r="K8" s="240"/>
      <c r="L8" s="239"/>
      <c r="M8" s="239"/>
      <c r="N8" s="239"/>
      <c r="O8" s="239"/>
      <c r="P8" s="240"/>
      <c r="Q8" s="239"/>
      <c r="R8" s="239"/>
      <c r="S8" s="239"/>
      <c r="T8" s="239"/>
      <c r="U8" s="239"/>
      <c r="V8" s="239"/>
      <c r="W8" s="239"/>
      <c r="X8" s="240"/>
      <c r="Y8" s="240"/>
      <c r="Z8" s="240"/>
      <c r="AA8" s="240"/>
      <c r="AB8" s="240"/>
      <c r="AC8" s="240"/>
      <c r="AD8" s="240"/>
      <c r="AE8" s="240"/>
      <c r="AF8" s="240"/>
      <c r="AG8" s="240"/>
      <c r="AH8" s="240"/>
      <c r="AI8" s="240"/>
      <c r="AJ8" s="240"/>
      <c r="AK8" s="240"/>
      <c r="AL8" s="240"/>
      <c r="AM8" s="239"/>
      <c r="AN8" s="239"/>
      <c r="AO8" s="239"/>
      <c r="AP8" s="239"/>
      <c r="AQ8" s="239"/>
      <c r="AR8" s="239"/>
      <c r="AS8" s="239"/>
      <c r="AT8" s="239"/>
      <c r="AU8" s="239"/>
      <c r="AV8" s="239"/>
      <c r="AW8" s="262"/>
      <c r="AX8" s="262"/>
      <c r="AY8" s="262"/>
      <c r="AZ8" s="263"/>
      <c r="BA8" s="264"/>
      <c r="BB8" s="265"/>
      <c r="BC8" s="264"/>
    </row>
    <row r="9" spans="2:55" ht="54.75" customHeight="1" x14ac:dyDescent="0.25">
      <c r="B9" s="282" t="s">
        <v>46</v>
      </c>
      <c r="C9" s="312" t="s">
        <v>170</v>
      </c>
      <c r="D9" s="329" t="s">
        <v>124</v>
      </c>
      <c r="E9" s="318">
        <v>425</v>
      </c>
      <c r="F9" s="235">
        <v>425</v>
      </c>
      <c r="G9" s="235">
        <f t="shared" si="0"/>
        <v>425</v>
      </c>
      <c r="H9" s="235">
        <f t="shared" si="0"/>
        <v>425</v>
      </c>
      <c r="I9" s="235">
        <f t="shared" si="0"/>
        <v>425</v>
      </c>
      <c r="J9" s="235">
        <f t="shared" si="1"/>
        <v>425</v>
      </c>
      <c r="K9" s="242" t="s">
        <v>81</v>
      </c>
      <c r="L9" s="235" t="s">
        <v>81</v>
      </c>
      <c r="M9" s="235" t="s">
        <v>81</v>
      </c>
      <c r="N9" s="235" t="s">
        <v>81</v>
      </c>
      <c r="O9" s="235" t="s">
        <v>81</v>
      </c>
      <c r="P9" s="235" t="s">
        <v>81</v>
      </c>
      <c r="Q9" s="235" t="s">
        <v>81</v>
      </c>
      <c r="R9" s="235" t="s">
        <v>81</v>
      </c>
      <c r="S9" s="235" t="s">
        <v>81</v>
      </c>
      <c r="T9" s="235" t="s">
        <v>84</v>
      </c>
      <c r="U9" s="235" t="s">
        <v>85</v>
      </c>
      <c r="V9" s="236" t="s">
        <v>86</v>
      </c>
      <c r="W9" s="235" t="s">
        <v>86</v>
      </c>
      <c r="X9" s="235" t="s">
        <v>86</v>
      </c>
      <c r="Y9" s="235" t="s">
        <v>86</v>
      </c>
      <c r="Z9" s="236" t="s">
        <v>87</v>
      </c>
      <c r="AA9" s="236" t="s">
        <v>88</v>
      </c>
      <c r="AB9" s="236" t="s">
        <v>88</v>
      </c>
      <c r="AC9" s="236" t="s">
        <v>90</v>
      </c>
      <c r="AD9" s="236" t="s">
        <v>94</v>
      </c>
      <c r="AE9" s="236" t="s">
        <v>94</v>
      </c>
      <c r="AF9" s="236" t="s">
        <v>94</v>
      </c>
      <c r="AG9" s="236" t="s">
        <v>94</v>
      </c>
      <c r="AH9" s="236" t="s">
        <v>102</v>
      </c>
      <c r="AI9" s="236" t="s">
        <v>104</v>
      </c>
      <c r="AJ9" s="236" t="s">
        <v>104</v>
      </c>
      <c r="AK9" s="236" t="s">
        <v>104</v>
      </c>
      <c r="AL9" s="236" t="s">
        <v>104</v>
      </c>
      <c r="AM9" s="235" t="s">
        <v>104</v>
      </c>
      <c r="AN9" s="235" t="s">
        <v>104</v>
      </c>
      <c r="AO9" s="235" t="s">
        <v>104</v>
      </c>
      <c r="AP9" s="235">
        <v>382.47</v>
      </c>
      <c r="AQ9" s="235">
        <v>420</v>
      </c>
      <c r="AR9" s="235">
        <v>450</v>
      </c>
      <c r="AS9" s="235">
        <v>450</v>
      </c>
      <c r="AT9" s="235">
        <v>460</v>
      </c>
      <c r="AU9" s="235" t="s">
        <v>114</v>
      </c>
      <c r="AV9" s="235" t="s">
        <v>117</v>
      </c>
      <c r="AW9" s="283" t="s">
        <v>117</v>
      </c>
      <c r="AX9" s="283" t="s">
        <v>117</v>
      </c>
      <c r="AY9" s="283" t="s">
        <v>171</v>
      </c>
      <c r="AZ9" s="284" t="s">
        <v>171</v>
      </c>
      <c r="BA9" s="285" t="s">
        <v>276</v>
      </c>
      <c r="BB9" s="286" t="s">
        <v>276</v>
      </c>
      <c r="BC9" s="285">
        <v>445</v>
      </c>
    </row>
    <row r="10" spans="2:55" ht="54.75" customHeight="1" x14ac:dyDescent="0.25">
      <c r="B10" s="353" t="s">
        <v>47</v>
      </c>
      <c r="C10" s="354" t="s">
        <v>286</v>
      </c>
      <c r="D10" s="355" t="s">
        <v>124</v>
      </c>
      <c r="E10" s="356" t="s">
        <v>61</v>
      </c>
      <c r="F10" s="115" t="s">
        <v>61</v>
      </c>
      <c r="G10" s="115" t="str">
        <f t="shared" ref="G10" si="2">F10</f>
        <v>445/525 Р</v>
      </c>
      <c r="H10" s="115" t="str">
        <f t="shared" ref="H10" si="3">G10</f>
        <v>445/525 Р</v>
      </c>
      <c r="I10" s="115" t="str">
        <f t="shared" ref="I10" si="4">H10</f>
        <v>445/525 Р</v>
      </c>
      <c r="J10" s="112" t="str">
        <f t="shared" ref="J10" si="5">I10</f>
        <v>445/525 Р</v>
      </c>
      <c r="K10" s="112" t="str">
        <f t="shared" ref="K10" si="6">J10</f>
        <v>445/525 Р</v>
      </c>
      <c r="L10" s="112" t="str">
        <f t="shared" ref="L10" si="7">K10</f>
        <v>445/525 Р</v>
      </c>
      <c r="M10" s="112" t="str">
        <f t="shared" ref="M10" si="8">L10</f>
        <v>445/525 Р</v>
      </c>
      <c r="N10" s="112" t="str">
        <f t="shared" ref="N10" si="9">M10</f>
        <v>445/525 Р</v>
      </c>
      <c r="O10" s="112" t="str">
        <f t="shared" ref="O10" si="10">N10</f>
        <v>445/525 Р</v>
      </c>
      <c r="P10" s="112" t="str">
        <f t="shared" ref="P10" si="11">O10</f>
        <v>445/525 Р</v>
      </c>
      <c r="Q10" s="112" t="str">
        <f t="shared" ref="Q10" si="12">P10</f>
        <v>445/525 Р</v>
      </c>
      <c r="R10" s="112" t="str">
        <f t="shared" ref="R10" si="13">Q10</f>
        <v>445/525 Р</v>
      </c>
      <c r="S10" s="112" t="str">
        <f t="shared" ref="S10" si="14">R10</f>
        <v>445/525 Р</v>
      </c>
      <c r="T10" s="112" t="str">
        <f t="shared" ref="T10" si="15">S10</f>
        <v>445/525 Р</v>
      </c>
      <c r="U10" s="112" t="str">
        <f t="shared" ref="U10" si="16">T10</f>
        <v>445/525 Р</v>
      </c>
      <c r="V10" s="112" t="str">
        <f t="shared" ref="V10" si="17">U10</f>
        <v>445/525 Р</v>
      </c>
      <c r="W10" s="112" t="str">
        <f t="shared" ref="W10" si="18">V10</f>
        <v>445/525 Р</v>
      </c>
      <c r="X10" s="112" t="str">
        <f t="shared" ref="X10" si="19">W10</f>
        <v>445/525 Р</v>
      </c>
      <c r="Y10" s="112" t="str">
        <f t="shared" ref="Y10" si="20">X10</f>
        <v>445/525 Р</v>
      </c>
      <c r="Z10" s="112" t="str">
        <f t="shared" ref="Z10" si="21">Y10</f>
        <v>445/525 Р</v>
      </c>
      <c r="AA10" s="357" t="s">
        <v>89</v>
      </c>
      <c r="AB10" s="357" t="s">
        <v>89</v>
      </c>
      <c r="AC10" s="357" t="s">
        <v>91</v>
      </c>
      <c r="AD10" s="357" t="s">
        <v>91</v>
      </c>
      <c r="AE10" s="357" t="s">
        <v>91</v>
      </c>
      <c r="AF10" s="357" t="s">
        <v>91</v>
      </c>
      <c r="AG10" s="357" t="s">
        <v>91</v>
      </c>
      <c r="AH10" s="357" t="s">
        <v>91</v>
      </c>
      <c r="AI10" s="357" t="s">
        <v>105</v>
      </c>
      <c r="AJ10" s="357" t="s">
        <v>105</v>
      </c>
      <c r="AK10" s="357" t="s">
        <v>105</v>
      </c>
      <c r="AL10" s="357" t="s">
        <v>105</v>
      </c>
      <c r="AM10" s="112" t="s">
        <v>105</v>
      </c>
      <c r="AN10" s="112" t="s">
        <v>105</v>
      </c>
      <c r="AO10" s="112" t="s">
        <v>105</v>
      </c>
      <c r="AP10" s="112" t="s">
        <v>105</v>
      </c>
      <c r="AQ10" s="112" t="s">
        <v>111</v>
      </c>
      <c r="AR10" s="112" t="s">
        <v>111</v>
      </c>
      <c r="AS10" s="112" t="s">
        <v>111</v>
      </c>
      <c r="AT10" s="112" t="s">
        <v>113</v>
      </c>
      <c r="AU10" s="112" t="s">
        <v>113</v>
      </c>
      <c r="AV10" s="112" t="s">
        <v>113</v>
      </c>
      <c r="AW10" s="358" t="s">
        <v>122</v>
      </c>
      <c r="AX10" s="358" t="s">
        <v>122</v>
      </c>
      <c r="AY10" s="358" t="s">
        <v>172</v>
      </c>
      <c r="AZ10" s="359" t="s">
        <v>172</v>
      </c>
      <c r="BA10" s="360" t="s">
        <v>277</v>
      </c>
      <c r="BB10" s="361" t="s">
        <v>277</v>
      </c>
      <c r="BC10" s="360">
        <v>496</v>
      </c>
    </row>
    <row r="11" spans="2:55" ht="63" customHeight="1" thickBot="1" x14ac:dyDescent="0.3">
      <c r="B11" s="342" t="s">
        <v>47</v>
      </c>
      <c r="C11" s="343" t="s">
        <v>287</v>
      </c>
      <c r="D11" s="344" t="s">
        <v>124</v>
      </c>
      <c r="E11" s="345" t="s">
        <v>61</v>
      </c>
      <c r="F11" s="346" t="s">
        <v>61</v>
      </c>
      <c r="G11" s="346" t="str">
        <f t="shared" si="0"/>
        <v>445/525 Р</v>
      </c>
      <c r="H11" s="346" t="str">
        <f t="shared" si="0"/>
        <v>445/525 Р</v>
      </c>
      <c r="I11" s="346" t="str">
        <f t="shared" si="0"/>
        <v>445/525 Р</v>
      </c>
      <c r="J11" s="347" t="str">
        <f t="shared" si="1"/>
        <v>445/525 Р</v>
      </c>
      <c r="K11" s="347" t="str">
        <f t="shared" si="1"/>
        <v>445/525 Р</v>
      </c>
      <c r="L11" s="347" t="str">
        <f t="shared" si="1"/>
        <v>445/525 Р</v>
      </c>
      <c r="M11" s="347" t="str">
        <f t="shared" si="1"/>
        <v>445/525 Р</v>
      </c>
      <c r="N11" s="347" t="str">
        <f t="shared" si="1"/>
        <v>445/525 Р</v>
      </c>
      <c r="O11" s="347" t="str">
        <f t="shared" si="1"/>
        <v>445/525 Р</v>
      </c>
      <c r="P11" s="347" t="str">
        <f t="shared" si="1"/>
        <v>445/525 Р</v>
      </c>
      <c r="Q11" s="347" t="str">
        <f t="shared" si="1"/>
        <v>445/525 Р</v>
      </c>
      <c r="R11" s="347" t="str">
        <f t="shared" si="1"/>
        <v>445/525 Р</v>
      </c>
      <c r="S11" s="347" t="str">
        <f t="shared" si="1"/>
        <v>445/525 Р</v>
      </c>
      <c r="T11" s="347" t="str">
        <f t="shared" si="1"/>
        <v>445/525 Р</v>
      </c>
      <c r="U11" s="347" t="str">
        <f t="shared" si="1"/>
        <v>445/525 Р</v>
      </c>
      <c r="V11" s="347" t="str">
        <f t="shared" si="1"/>
        <v>445/525 Р</v>
      </c>
      <c r="W11" s="347" t="str">
        <f t="shared" si="1"/>
        <v>445/525 Р</v>
      </c>
      <c r="X11" s="347" t="str">
        <f t="shared" si="1"/>
        <v>445/525 Р</v>
      </c>
      <c r="Y11" s="347" t="str">
        <f t="shared" si="1"/>
        <v>445/525 Р</v>
      </c>
      <c r="Z11" s="347" t="str">
        <f t="shared" si="1"/>
        <v>445/525 Р</v>
      </c>
      <c r="AA11" s="348" t="s">
        <v>89</v>
      </c>
      <c r="AB11" s="348" t="s">
        <v>89</v>
      </c>
      <c r="AC11" s="348" t="s">
        <v>91</v>
      </c>
      <c r="AD11" s="348" t="s">
        <v>91</v>
      </c>
      <c r="AE11" s="348" t="s">
        <v>91</v>
      </c>
      <c r="AF11" s="348" t="s">
        <v>91</v>
      </c>
      <c r="AG11" s="348" t="s">
        <v>91</v>
      </c>
      <c r="AH11" s="348" t="s">
        <v>91</v>
      </c>
      <c r="AI11" s="348" t="s">
        <v>105</v>
      </c>
      <c r="AJ11" s="348" t="s">
        <v>105</v>
      </c>
      <c r="AK11" s="348" t="s">
        <v>105</v>
      </c>
      <c r="AL11" s="348" t="s">
        <v>105</v>
      </c>
      <c r="AM11" s="347" t="s">
        <v>105</v>
      </c>
      <c r="AN11" s="347" t="s">
        <v>105</v>
      </c>
      <c r="AO11" s="347" t="s">
        <v>105</v>
      </c>
      <c r="AP11" s="347" t="s">
        <v>105</v>
      </c>
      <c r="AQ11" s="347" t="s">
        <v>111</v>
      </c>
      <c r="AR11" s="347" t="s">
        <v>111</v>
      </c>
      <c r="AS11" s="347" t="s">
        <v>111</v>
      </c>
      <c r="AT11" s="347" t="s">
        <v>113</v>
      </c>
      <c r="AU11" s="347" t="s">
        <v>113</v>
      </c>
      <c r="AV11" s="347" t="s">
        <v>113</v>
      </c>
      <c r="AW11" s="349" t="s">
        <v>122</v>
      </c>
      <c r="AX11" s="349" t="s">
        <v>122</v>
      </c>
      <c r="AY11" s="349" t="s">
        <v>172</v>
      </c>
      <c r="AZ11" s="350" t="s">
        <v>172</v>
      </c>
      <c r="BA11" s="351" t="s">
        <v>277</v>
      </c>
      <c r="BB11" s="352" t="s">
        <v>277</v>
      </c>
      <c r="BC11" s="351">
        <v>616</v>
      </c>
    </row>
    <row r="12" spans="2:55" ht="57.75" customHeight="1" x14ac:dyDescent="0.25">
      <c r="B12" s="292" t="s">
        <v>27</v>
      </c>
      <c r="C12" s="313" t="s">
        <v>95</v>
      </c>
      <c r="D12" s="330" t="s">
        <v>124</v>
      </c>
      <c r="E12" s="322">
        <v>562</v>
      </c>
      <c r="F12" s="293">
        <v>562</v>
      </c>
      <c r="G12" s="293">
        <f t="shared" si="0"/>
        <v>562</v>
      </c>
      <c r="H12" s="293">
        <f t="shared" si="0"/>
        <v>562</v>
      </c>
      <c r="I12" s="293">
        <f t="shared" si="0"/>
        <v>562</v>
      </c>
      <c r="J12" s="293">
        <f t="shared" si="1"/>
        <v>562</v>
      </c>
      <c r="K12" s="293">
        <f t="shared" si="1"/>
        <v>562</v>
      </c>
      <c r="L12" s="293">
        <f t="shared" si="1"/>
        <v>562</v>
      </c>
      <c r="M12" s="293">
        <f t="shared" si="1"/>
        <v>562</v>
      </c>
      <c r="N12" s="293">
        <f t="shared" si="1"/>
        <v>562</v>
      </c>
      <c r="O12" s="293">
        <f t="shared" si="1"/>
        <v>562</v>
      </c>
      <c r="P12" s="293">
        <f t="shared" si="1"/>
        <v>562</v>
      </c>
      <c r="Q12" s="293">
        <f t="shared" si="1"/>
        <v>562</v>
      </c>
      <c r="R12" s="293">
        <f t="shared" si="1"/>
        <v>562</v>
      </c>
      <c r="S12" s="293">
        <f t="shared" si="1"/>
        <v>562</v>
      </c>
      <c r="T12" s="293">
        <f t="shared" si="1"/>
        <v>562</v>
      </c>
      <c r="U12" s="293">
        <f t="shared" si="1"/>
        <v>562</v>
      </c>
      <c r="V12" s="293">
        <f t="shared" si="1"/>
        <v>562</v>
      </c>
      <c r="W12" s="293">
        <v>550</v>
      </c>
      <c r="X12" s="293">
        <v>550</v>
      </c>
      <c r="Y12" s="293">
        <v>520</v>
      </c>
      <c r="Z12" s="293">
        <v>520</v>
      </c>
      <c r="AA12" s="293">
        <v>504</v>
      </c>
      <c r="AB12" s="293">
        <v>488</v>
      </c>
      <c r="AC12" s="293">
        <v>435</v>
      </c>
      <c r="AD12" s="293" t="s">
        <v>96</v>
      </c>
      <c r="AE12" s="293">
        <v>447</v>
      </c>
      <c r="AF12" s="293">
        <v>451</v>
      </c>
      <c r="AG12" s="293">
        <v>451</v>
      </c>
      <c r="AH12" s="293">
        <v>451</v>
      </c>
      <c r="AI12" s="294" t="s">
        <v>106</v>
      </c>
      <c r="AJ12" s="294" t="s">
        <v>106</v>
      </c>
      <c r="AK12" s="293" t="s">
        <v>107</v>
      </c>
      <c r="AL12" s="293" t="s">
        <v>107</v>
      </c>
      <c r="AM12" s="293">
        <v>468</v>
      </c>
      <c r="AN12" s="293">
        <v>491</v>
      </c>
      <c r="AO12" s="293" t="s">
        <v>110</v>
      </c>
      <c r="AP12" s="293" t="s">
        <v>110</v>
      </c>
      <c r="AQ12" s="293" t="s">
        <v>112</v>
      </c>
      <c r="AR12" s="293">
        <v>541</v>
      </c>
      <c r="AS12" s="293">
        <v>551</v>
      </c>
      <c r="AT12" s="293">
        <v>551</v>
      </c>
      <c r="AU12" s="293">
        <v>571</v>
      </c>
      <c r="AV12" s="293">
        <v>571</v>
      </c>
      <c r="AW12" s="293" t="s">
        <v>121</v>
      </c>
      <c r="AX12" s="293" t="s">
        <v>121</v>
      </c>
      <c r="AY12" s="293">
        <v>581</v>
      </c>
      <c r="AZ12" s="293">
        <v>581</v>
      </c>
      <c r="BA12" s="295">
        <v>581</v>
      </c>
      <c r="BB12" s="296">
        <v>581</v>
      </c>
      <c r="BC12" s="297">
        <v>565</v>
      </c>
    </row>
    <row r="13" spans="2:55" ht="55.5" customHeight="1" x14ac:dyDescent="0.25">
      <c r="B13" s="298" t="s">
        <v>119</v>
      </c>
      <c r="C13" s="314" t="s">
        <v>26</v>
      </c>
      <c r="D13" s="331" t="s">
        <v>124</v>
      </c>
      <c r="E13" s="323">
        <v>532</v>
      </c>
      <c r="F13" s="287">
        <v>532</v>
      </c>
      <c r="G13" s="287">
        <f t="shared" si="0"/>
        <v>532</v>
      </c>
      <c r="H13" s="287">
        <f t="shared" si="0"/>
        <v>532</v>
      </c>
      <c r="I13" s="287">
        <f t="shared" si="0"/>
        <v>532</v>
      </c>
      <c r="J13" s="287">
        <f t="shared" si="1"/>
        <v>532</v>
      </c>
      <c r="K13" s="287">
        <f t="shared" si="1"/>
        <v>532</v>
      </c>
      <c r="L13" s="287">
        <f t="shared" si="1"/>
        <v>532</v>
      </c>
      <c r="M13" s="287">
        <f t="shared" si="1"/>
        <v>532</v>
      </c>
      <c r="N13" s="287">
        <f t="shared" si="1"/>
        <v>532</v>
      </c>
      <c r="O13" s="287">
        <f t="shared" si="1"/>
        <v>532</v>
      </c>
      <c r="P13" s="287">
        <v>577</v>
      </c>
      <c r="Q13" s="287">
        <v>577</v>
      </c>
      <c r="R13" s="287">
        <v>577</v>
      </c>
      <c r="S13" s="287">
        <v>577</v>
      </c>
      <c r="T13" s="287">
        <v>577</v>
      </c>
      <c r="U13" s="287">
        <v>577</v>
      </c>
      <c r="V13" s="287">
        <v>577</v>
      </c>
      <c r="W13" s="287">
        <v>532</v>
      </c>
      <c r="X13" s="287">
        <v>532</v>
      </c>
      <c r="Y13" s="287">
        <v>525</v>
      </c>
      <c r="Z13" s="287">
        <v>525</v>
      </c>
      <c r="AA13" s="287">
        <v>482</v>
      </c>
      <c r="AB13" s="287">
        <v>462</v>
      </c>
      <c r="AC13" s="287">
        <v>416</v>
      </c>
      <c r="AD13" s="287">
        <v>418</v>
      </c>
      <c r="AE13" s="287">
        <v>435</v>
      </c>
      <c r="AF13" s="287">
        <v>425</v>
      </c>
      <c r="AG13" s="287">
        <v>425</v>
      </c>
      <c r="AH13" s="287">
        <v>431</v>
      </c>
      <c r="AI13" s="287">
        <v>431</v>
      </c>
      <c r="AJ13" s="287">
        <v>431</v>
      </c>
      <c r="AK13" s="287">
        <v>443</v>
      </c>
      <c r="AL13" s="287">
        <v>443</v>
      </c>
      <c r="AM13" s="287">
        <v>445</v>
      </c>
      <c r="AN13" s="287">
        <v>447</v>
      </c>
      <c r="AO13" s="287">
        <v>453</v>
      </c>
      <c r="AP13" s="287">
        <v>498</v>
      </c>
      <c r="AQ13" s="287">
        <v>520</v>
      </c>
      <c r="AR13" s="287">
        <v>530</v>
      </c>
      <c r="AS13" s="287">
        <v>541</v>
      </c>
      <c r="AT13" s="287">
        <v>541</v>
      </c>
      <c r="AU13" s="287">
        <v>562</v>
      </c>
      <c r="AV13" s="287">
        <v>562</v>
      </c>
      <c r="AW13" s="287">
        <v>568</v>
      </c>
      <c r="AX13" s="287">
        <v>569</v>
      </c>
      <c r="AY13" s="287">
        <v>572</v>
      </c>
      <c r="AZ13" s="287">
        <v>572</v>
      </c>
      <c r="BA13" s="288">
        <v>572</v>
      </c>
      <c r="BB13" s="289">
        <v>572</v>
      </c>
      <c r="BC13" s="299">
        <v>572</v>
      </c>
    </row>
    <row r="14" spans="2:55" ht="55.5" customHeight="1" x14ac:dyDescent="0.25">
      <c r="B14" s="298" t="s">
        <v>167</v>
      </c>
      <c r="C14" s="314" t="s">
        <v>168</v>
      </c>
      <c r="D14" s="331" t="s">
        <v>124</v>
      </c>
      <c r="E14" s="323"/>
      <c r="F14" s="287"/>
      <c r="G14" s="287"/>
      <c r="H14" s="287"/>
      <c r="I14" s="287"/>
      <c r="J14" s="287"/>
      <c r="K14" s="287"/>
      <c r="L14" s="287"/>
      <c r="M14" s="287"/>
      <c r="N14" s="287"/>
      <c r="O14" s="287"/>
      <c r="P14" s="287"/>
      <c r="Q14" s="287"/>
      <c r="R14" s="287"/>
      <c r="S14" s="287"/>
      <c r="T14" s="287"/>
      <c r="U14" s="287"/>
      <c r="V14" s="287"/>
      <c r="W14" s="287"/>
      <c r="X14" s="287"/>
      <c r="Y14" s="287"/>
      <c r="Z14" s="287"/>
      <c r="AA14" s="287"/>
      <c r="AB14" s="287"/>
      <c r="AC14" s="287"/>
      <c r="AD14" s="287"/>
      <c r="AE14" s="287"/>
      <c r="AF14" s="287"/>
      <c r="AG14" s="287"/>
      <c r="AH14" s="287"/>
      <c r="AI14" s="287"/>
      <c r="AJ14" s="287"/>
      <c r="AK14" s="287"/>
      <c r="AL14" s="287"/>
      <c r="AM14" s="287"/>
      <c r="AN14" s="287"/>
      <c r="AO14" s="287"/>
      <c r="AP14" s="287"/>
      <c r="AQ14" s="287"/>
      <c r="AR14" s="287"/>
      <c r="AS14" s="287"/>
      <c r="AT14" s="287"/>
      <c r="AU14" s="287"/>
      <c r="AV14" s="287"/>
      <c r="AW14" s="287"/>
      <c r="AX14" s="287"/>
      <c r="AY14" s="287">
        <f>1.22*417</f>
        <v>508.74</v>
      </c>
      <c r="AZ14" s="287">
        <v>508.74</v>
      </c>
      <c r="BA14" s="288">
        <v>508.74</v>
      </c>
      <c r="BB14" s="289">
        <v>508.74</v>
      </c>
      <c r="BC14" s="299">
        <v>508.74</v>
      </c>
    </row>
    <row r="15" spans="2:55" ht="55.5" customHeight="1" x14ac:dyDescent="0.25">
      <c r="B15" s="298" t="s">
        <v>118</v>
      </c>
      <c r="C15" s="314" t="s">
        <v>278</v>
      </c>
      <c r="D15" s="331" t="s">
        <v>124</v>
      </c>
      <c r="E15" s="323"/>
      <c r="F15" s="287"/>
      <c r="G15" s="287"/>
      <c r="H15" s="287"/>
      <c r="I15" s="287"/>
      <c r="J15" s="287"/>
      <c r="K15" s="287"/>
      <c r="L15" s="287"/>
      <c r="M15" s="287"/>
      <c r="N15" s="287"/>
      <c r="O15" s="287"/>
      <c r="P15" s="287"/>
      <c r="Q15" s="287"/>
      <c r="R15" s="287"/>
      <c r="S15" s="287"/>
      <c r="T15" s="287"/>
      <c r="U15" s="287"/>
      <c r="V15" s="287"/>
      <c r="W15" s="287"/>
      <c r="X15" s="287"/>
      <c r="Y15" s="287"/>
      <c r="Z15" s="287"/>
      <c r="AA15" s="287"/>
      <c r="AB15" s="287"/>
      <c r="AC15" s="287"/>
      <c r="AD15" s="287"/>
      <c r="AE15" s="287"/>
      <c r="AF15" s="287"/>
      <c r="AG15" s="287"/>
      <c r="AH15" s="287"/>
      <c r="AI15" s="287"/>
      <c r="AJ15" s="287"/>
      <c r="AK15" s="287"/>
      <c r="AL15" s="287"/>
      <c r="AM15" s="287"/>
      <c r="AN15" s="287"/>
      <c r="AO15" s="287"/>
      <c r="AP15" s="287"/>
      <c r="AQ15" s="287"/>
      <c r="AR15" s="287"/>
      <c r="AS15" s="287"/>
      <c r="AT15" s="287"/>
      <c r="AU15" s="287"/>
      <c r="AV15" s="287">
        <f>734</f>
        <v>734</v>
      </c>
      <c r="AW15" s="290">
        <f>734</f>
        <v>734</v>
      </c>
      <c r="AX15" s="290">
        <f>734</f>
        <v>734</v>
      </c>
      <c r="AY15" s="290">
        <v>745</v>
      </c>
      <c r="AZ15" s="290">
        <v>745</v>
      </c>
      <c r="BA15" s="290">
        <v>745</v>
      </c>
      <c r="BB15" s="291">
        <v>745</v>
      </c>
      <c r="BC15" s="300">
        <v>745</v>
      </c>
    </row>
    <row r="16" spans="2:55" ht="55.5" customHeight="1" thickBot="1" x14ac:dyDescent="0.3">
      <c r="B16" s="301" t="s">
        <v>165</v>
      </c>
      <c r="C16" s="315" t="s">
        <v>166</v>
      </c>
      <c r="D16" s="332" t="s">
        <v>124</v>
      </c>
      <c r="E16" s="324"/>
      <c r="F16" s="302"/>
      <c r="G16" s="302"/>
      <c r="H16" s="302"/>
      <c r="I16" s="302"/>
      <c r="J16" s="302"/>
      <c r="K16" s="302"/>
      <c r="L16" s="302"/>
      <c r="M16" s="302"/>
      <c r="N16" s="302"/>
      <c r="O16" s="302"/>
      <c r="P16" s="302"/>
      <c r="Q16" s="302"/>
      <c r="R16" s="302"/>
      <c r="S16" s="302"/>
      <c r="T16" s="302"/>
      <c r="U16" s="302"/>
      <c r="V16" s="302"/>
      <c r="W16" s="302"/>
      <c r="X16" s="302"/>
      <c r="Y16" s="302"/>
      <c r="Z16" s="302"/>
      <c r="AA16" s="302"/>
      <c r="AB16" s="302"/>
      <c r="AC16" s="302"/>
      <c r="AD16" s="302"/>
      <c r="AE16" s="302"/>
      <c r="AF16" s="302"/>
      <c r="AG16" s="302"/>
      <c r="AH16" s="302"/>
      <c r="AI16" s="302"/>
      <c r="AJ16" s="302"/>
      <c r="AK16" s="302"/>
      <c r="AL16" s="302"/>
      <c r="AM16" s="302"/>
      <c r="AN16" s="302"/>
      <c r="AO16" s="302"/>
      <c r="AP16" s="302"/>
      <c r="AQ16" s="302"/>
      <c r="AR16" s="302"/>
      <c r="AS16" s="302"/>
      <c r="AT16" s="302"/>
      <c r="AU16" s="302"/>
      <c r="AV16" s="302"/>
      <c r="AW16" s="302">
        <v>480</v>
      </c>
      <c r="AX16" s="302">
        <v>480</v>
      </c>
      <c r="AY16" s="302">
        <f>500*1.22</f>
        <v>610</v>
      </c>
      <c r="AZ16" s="302">
        <f>500*1.22</f>
        <v>610</v>
      </c>
      <c r="BA16" s="303">
        <f>500*1.22</f>
        <v>610</v>
      </c>
      <c r="BB16" s="304">
        <f>500*1.22</f>
        <v>610</v>
      </c>
      <c r="BC16" s="305">
        <f>520*1.22</f>
        <v>634.4</v>
      </c>
    </row>
    <row r="17" spans="2:55" ht="55.5" customHeight="1" x14ac:dyDescent="0.25">
      <c r="B17" s="367" t="s">
        <v>267</v>
      </c>
      <c r="C17" s="377" t="s">
        <v>25</v>
      </c>
      <c r="D17" s="379" t="s">
        <v>124</v>
      </c>
      <c r="E17" s="318"/>
      <c r="F17" s="235"/>
      <c r="G17" s="235"/>
      <c r="H17" s="235"/>
      <c r="I17" s="235"/>
      <c r="J17" s="235"/>
      <c r="K17" s="235"/>
      <c r="L17" s="235"/>
      <c r="M17" s="235"/>
      <c r="N17" s="235"/>
      <c r="O17" s="235"/>
      <c r="P17" s="235"/>
      <c r="Q17" s="235"/>
      <c r="R17" s="235"/>
      <c r="S17" s="235"/>
      <c r="T17" s="235"/>
      <c r="U17" s="235"/>
      <c r="V17" s="235"/>
      <c r="W17" s="235"/>
      <c r="X17" s="235"/>
      <c r="Y17" s="236"/>
      <c r="Z17" s="236"/>
      <c r="AA17" s="236"/>
      <c r="AB17" s="236"/>
      <c r="AC17" s="236"/>
      <c r="AD17" s="236"/>
      <c r="AE17" s="236"/>
      <c r="AF17" s="236"/>
      <c r="AG17" s="236"/>
      <c r="AH17" s="236"/>
      <c r="AI17" s="236"/>
      <c r="AJ17" s="236"/>
      <c r="AK17" s="236"/>
      <c r="AL17" s="236"/>
      <c r="AM17" s="236"/>
      <c r="AN17" s="236"/>
      <c r="AO17" s="236"/>
      <c r="AP17" s="236"/>
      <c r="AQ17" s="236"/>
      <c r="AR17" s="236"/>
      <c r="AS17" s="236"/>
      <c r="AT17" s="236"/>
      <c r="AU17" s="236"/>
      <c r="AV17" s="236"/>
      <c r="AW17" s="368"/>
      <c r="AX17" s="368"/>
      <c r="AY17" s="368"/>
      <c r="AZ17" s="368">
        <v>84</v>
      </c>
      <c r="BA17" s="369">
        <v>84</v>
      </c>
      <c r="BB17" s="370">
        <v>84</v>
      </c>
      <c r="BC17" s="371">
        <v>84</v>
      </c>
    </row>
    <row r="18" spans="2:55" ht="48.75" customHeight="1" thickBot="1" x14ac:dyDescent="0.3">
      <c r="B18" s="372" t="s">
        <v>44</v>
      </c>
      <c r="C18" s="378" t="s">
        <v>25</v>
      </c>
      <c r="D18" s="380" t="s">
        <v>124</v>
      </c>
      <c r="E18" s="321">
        <v>109.5</v>
      </c>
      <c r="F18" s="239">
        <v>109.5</v>
      </c>
      <c r="G18" s="239">
        <f t="shared" ref="G18:S18" si="22">F18</f>
        <v>109.5</v>
      </c>
      <c r="H18" s="239">
        <f t="shared" si="22"/>
        <v>109.5</v>
      </c>
      <c r="I18" s="239">
        <f t="shared" si="22"/>
        <v>109.5</v>
      </c>
      <c r="J18" s="239">
        <f t="shared" si="22"/>
        <v>109.5</v>
      </c>
      <c r="K18" s="239">
        <f t="shared" si="22"/>
        <v>109.5</v>
      </c>
      <c r="L18" s="239">
        <f t="shared" si="22"/>
        <v>109.5</v>
      </c>
      <c r="M18" s="239">
        <f t="shared" si="22"/>
        <v>109.5</v>
      </c>
      <c r="N18" s="239">
        <f t="shared" si="22"/>
        <v>109.5</v>
      </c>
      <c r="O18" s="239">
        <f t="shared" si="22"/>
        <v>109.5</v>
      </c>
      <c r="P18" s="239">
        <f t="shared" si="22"/>
        <v>109.5</v>
      </c>
      <c r="Q18" s="239">
        <f t="shared" si="22"/>
        <v>109.5</v>
      </c>
      <c r="R18" s="239">
        <f t="shared" si="22"/>
        <v>109.5</v>
      </c>
      <c r="S18" s="239">
        <f t="shared" si="22"/>
        <v>109.5</v>
      </c>
      <c r="T18" s="239">
        <v>105</v>
      </c>
      <c r="U18" s="239">
        <v>102</v>
      </c>
      <c r="V18" s="239">
        <v>102</v>
      </c>
      <c r="W18" s="239">
        <v>103</v>
      </c>
      <c r="X18" s="239">
        <v>103</v>
      </c>
      <c r="Y18" s="239">
        <v>103</v>
      </c>
      <c r="Z18" s="239">
        <v>103</v>
      </c>
      <c r="AA18" s="239">
        <v>100</v>
      </c>
      <c r="AB18" s="239">
        <v>100</v>
      </c>
      <c r="AC18" s="239">
        <v>100.5</v>
      </c>
      <c r="AD18" s="239" t="s">
        <v>98</v>
      </c>
      <c r="AE18" s="239" t="s">
        <v>99</v>
      </c>
      <c r="AF18" s="239" t="s">
        <v>99</v>
      </c>
      <c r="AG18" s="239" t="s">
        <v>99</v>
      </c>
      <c r="AH18" s="239" t="s">
        <v>103</v>
      </c>
      <c r="AI18" s="239" t="s">
        <v>103</v>
      </c>
      <c r="AJ18" s="239" t="s">
        <v>103</v>
      </c>
      <c r="AK18" s="239" t="s">
        <v>108</v>
      </c>
      <c r="AL18" s="239" t="s">
        <v>108</v>
      </c>
      <c r="AM18" s="239" t="s">
        <v>108</v>
      </c>
      <c r="AN18" s="239" t="s">
        <v>108</v>
      </c>
      <c r="AO18" s="239">
        <v>93.5</v>
      </c>
      <c r="AP18" s="239">
        <v>93.5</v>
      </c>
      <c r="AQ18" s="239">
        <v>93.5</v>
      </c>
      <c r="AR18" s="239">
        <v>93.5</v>
      </c>
      <c r="AS18" s="239">
        <v>93.5</v>
      </c>
      <c r="AT18" s="239">
        <v>92</v>
      </c>
      <c r="AU18" s="239">
        <v>92</v>
      </c>
      <c r="AV18" s="239">
        <v>92</v>
      </c>
      <c r="AW18" s="373">
        <v>92</v>
      </c>
      <c r="AX18" s="373">
        <v>95</v>
      </c>
      <c r="AY18" s="373">
        <v>95</v>
      </c>
      <c r="AZ18" s="373">
        <v>95</v>
      </c>
      <c r="BA18" s="374">
        <v>95</v>
      </c>
      <c r="BB18" s="375">
        <v>95</v>
      </c>
      <c r="BC18" s="376">
        <v>95</v>
      </c>
    </row>
    <row r="19" spans="2:55" ht="48.75" customHeight="1" x14ac:dyDescent="0.25">
      <c r="B19" s="362" t="s">
        <v>62</v>
      </c>
      <c r="C19" s="363" t="s">
        <v>120</v>
      </c>
      <c r="D19" s="364"/>
      <c r="E19" s="232">
        <v>10850</v>
      </c>
      <c r="F19" s="232">
        <v>10850</v>
      </c>
      <c r="G19" s="232">
        <f t="shared" si="0"/>
        <v>10850</v>
      </c>
      <c r="H19" s="232">
        <f t="shared" si="0"/>
        <v>10850</v>
      </c>
      <c r="I19" s="232">
        <f t="shared" si="0"/>
        <v>10850</v>
      </c>
      <c r="J19" s="232">
        <f t="shared" si="1"/>
        <v>10850</v>
      </c>
      <c r="K19" s="232">
        <f t="shared" si="1"/>
        <v>10850</v>
      </c>
      <c r="L19" s="232">
        <f t="shared" si="1"/>
        <v>10850</v>
      </c>
      <c r="M19" s="232">
        <f t="shared" si="1"/>
        <v>10850</v>
      </c>
      <c r="N19" s="232">
        <f t="shared" si="1"/>
        <v>10850</v>
      </c>
      <c r="O19" s="232">
        <f t="shared" si="1"/>
        <v>10850</v>
      </c>
      <c r="P19" s="232">
        <f t="shared" si="1"/>
        <v>10850</v>
      </c>
      <c r="Q19" s="232">
        <f t="shared" si="1"/>
        <v>10850</v>
      </c>
      <c r="R19" s="232">
        <f t="shared" si="1"/>
        <v>10850</v>
      </c>
      <c r="S19" s="232">
        <f t="shared" si="1"/>
        <v>10850</v>
      </c>
      <c r="T19" s="232">
        <f t="shared" si="1"/>
        <v>10850</v>
      </c>
      <c r="U19" s="232">
        <f t="shared" si="1"/>
        <v>10850</v>
      </c>
      <c r="V19" s="232">
        <f t="shared" si="1"/>
        <v>10850</v>
      </c>
      <c r="W19" s="232">
        <f t="shared" si="1"/>
        <v>10850</v>
      </c>
      <c r="X19" s="232">
        <f t="shared" si="1"/>
        <v>10850</v>
      </c>
      <c r="Y19" s="232">
        <f t="shared" si="1"/>
        <v>10850</v>
      </c>
      <c r="Z19" s="232">
        <f t="shared" si="1"/>
        <v>10850</v>
      </c>
      <c r="AA19" s="232">
        <f t="shared" si="1"/>
        <v>10850</v>
      </c>
      <c r="AB19" s="232">
        <f t="shared" si="1"/>
        <v>10850</v>
      </c>
      <c r="AC19" s="232">
        <v>9850</v>
      </c>
      <c r="AD19" s="232">
        <v>9851</v>
      </c>
      <c r="AE19" s="232">
        <v>9851</v>
      </c>
      <c r="AF19" s="232">
        <v>9851</v>
      </c>
      <c r="AG19" s="232">
        <v>9851</v>
      </c>
      <c r="AH19" s="232">
        <v>9851</v>
      </c>
      <c r="AI19" s="232">
        <v>9851</v>
      </c>
      <c r="AJ19" s="232">
        <v>9851</v>
      </c>
      <c r="AK19" s="232">
        <v>9851</v>
      </c>
      <c r="AL19" s="232">
        <v>9851</v>
      </c>
      <c r="AM19" s="232">
        <v>9851</v>
      </c>
      <c r="AN19" s="232">
        <v>9851</v>
      </c>
      <c r="AO19" s="232">
        <v>9851</v>
      </c>
      <c r="AP19" s="232">
        <v>9851</v>
      </c>
      <c r="AQ19" s="232">
        <v>9851</v>
      </c>
      <c r="AR19" s="232">
        <v>9851</v>
      </c>
      <c r="AS19" s="232">
        <v>9851</v>
      </c>
      <c r="AT19" s="232">
        <v>9851</v>
      </c>
      <c r="AU19" s="232">
        <v>9851</v>
      </c>
      <c r="AV19" s="232">
        <v>9851</v>
      </c>
      <c r="AW19" s="232">
        <v>9851</v>
      </c>
      <c r="AX19" s="232">
        <v>9852</v>
      </c>
      <c r="AY19" s="232">
        <v>9852</v>
      </c>
      <c r="AZ19" s="232">
        <v>9852</v>
      </c>
      <c r="BA19" s="365">
        <v>9852</v>
      </c>
      <c r="BB19" s="366">
        <v>9852</v>
      </c>
      <c r="BC19" s="365">
        <v>9852</v>
      </c>
    </row>
    <row r="20" spans="2:55" ht="48.75" customHeight="1" x14ac:dyDescent="0.25">
      <c r="B20" s="117" t="s">
        <v>63</v>
      </c>
      <c r="C20" s="110" t="s">
        <v>64</v>
      </c>
      <c r="D20" s="120"/>
      <c r="E20" s="112" t="s">
        <v>70</v>
      </c>
      <c r="F20" s="112" t="s">
        <v>70</v>
      </c>
      <c r="G20" s="112" t="str">
        <f t="shared" si="0"/>
        <v>цена марта 2023</v>
      </c>
      <c r="H20" s="112" t="str">
        <f t="shared" si="0"/>
        <v>цена марта 2023</v>
      </c>
      <c r="I20" s="112" t="str">
        <f t="shared" si="0"/>
        <v>цена марта 2023</v>
      </c>
      <c r="J20" s="112" t="str">
        <f t="shared" si="1"/>
        <v>цена марта 2023</v>
      </c>
      <c r="K20" s="112" t="str">
        <f t="shared" si="1"/>
        <v>цена марта 2023</v>
      </c>
      <c r="L20" s="112" t="str">
        <f t="shared" si="1"/>
        <v>цена марта 2023</v>
      </c>
      <c r="M20" s="112" t="str">
        <f t="shared" si="1"/>
        <v>цена марта 2023</v>
      </c>
      <c r="N20" s="112" t="str">
        <f t="shared" si="1"/>
        <v>цена марта 2023</v>
      </c>
      <c r="O20" s="112" t="str">
        <f t="shared" si="1"/>
        <v>цена марта 2023</v>
      </c>
      <c r="P20" s="112" t="str">
        <f t="shared" si="1"/>
        <v>цена марта 2023</v>
      </c>
      <c r="Q20" s="112" t="str">
        <f t="shared" si="1"/>
        <v>цена марта 2023</v>
      </c>
      <c r="R20" s="112" t="str">
        <f t="shared" si="1"/>
        <v>цена марта 2023</v>
      </c>
      <c r="S20" s="112" t="str">
        <f t="shared" si="1"/>
        <v>цена марта 2023</v>
      </c>
      <c r="T20" s="112" t="str">
        <f t="shared" si="1"/>
        <v>цена марта 2023</v>
      </c>
      <c r="U20" s="112" t="str">
        <f t="shared" si="1"/>
        <v>цена марта 2023</v>
      </c>
      <c r="V20" s="112" t="str">
        <f t="shared" si="1"/>
        <v>цена марта 2023</v>
      </c>
      <c r="W20" s="112" t="str">
        <f t="shared" si="1"/>
        <v>цена марта 2023</v>
      </c>
      <c r="X20" s="112" t="str">
        <f t="shared" si="1"/>
        <v>цена марта 2023</v>
      </c>
      <c r="Y20" s="112" t="str">
        <f t="shared" si="1"/>
        <v>цена марта 2023</v>
      </c>
      <c r="Z20" s="112" t="str">
        <f t="shared" si="1"/>
        <v>цена марта 2023</v>
      </c>
      <c r="AA20" s="112" t="str">
        <f t="shared" si="1"/>
        <v>цена марта 2023</v>
      </c>
      <c r="AB20" s="112" t="str">
        <f t="shared" si="1"/>
        <v>цена марта 2023</v>
      </c>
      <c r="AC20" s="112" t="str">
        <f t="shared" si="1"/>
        <v>цена марта 2023</v>
      </c>
      <c r="AD20" s="112" t="str">
        <f t="shared" si="1"/>
        <v>цена марта 2023</v>
      </c>
      <c r="AE20" s="112" t="str">
        <f t="shared" si="1"/>
        <v>цена марта 2023</v>
      </c>
      <c r="AF20" s="112" t="str">
        <f t="shared" si="1"/>
        <v>цена марта 2023</v>
      </c>
      <c r="AG20" s="112" t="str">
        <f t="shared" si="1"/>
        <v>цена марта 2023</v>
      </c>
      <c r="AH20" s="112" t="str">
        <f t="shared" si="1"/>
        <v>цена марта 2023</v>
      </c>
      <c r="AI20" s="112" t="str">
        <f t="shared" si="1"/>
        <v>цена марта 2023</v>
      </c>
      <c r="AJ20" s="112" t="str">
        <f t="shared" si="1"/>
        <v>цена марта 2023</v>
      </c>
      <c r="AK20" s="112" t="str">
        <f t="shared" si="1"/>
        <v>цена марта 2023</v>
      </c>
      <c r="AL20" s="112" t="str">
        <f t="shared" si="1"/>
        <v>цена марта 2023</v>
      </c>
      <c r="AM20" s="112" t="str">
        <f t="shared" si="1"/>
        <v>цена марта 2023</v>
      </c>
      <c r="AN20" s="112" t="str">
        <f t="shared" si="1"/>
        <v>цена марта 2023</v>
      </c>
      <c r="AO20" s="112" t="str">
        <f t="shared" si="1"/>
        <v>цена марта 2023</v>
      </c>
      <c r="AP20" s="112" t="str">
        <f t="shared" si="1"/>
        <v>цена марта 2023</v>
      </c>
      <c r="AQ20" s="112" t="str">
        <f t="shared" si="1"/>
        <v>цена марта 2023</v>
      </c>
      <c r="AR20" s="112" t="str">
        <f t="shared" si="1"/>
        <v>цена марта 2023</v>
      </c>
      <c r="AS20" s="112" t="str">
        <f t="shared" si="1"/>
        <v>цена марта 2023</v>
      </c>
      <c r="AT20" s="112" t="str">
        <f t="shared" si="1"/>
        <v>цена марта 2023</v>
      </c>
      <c r="AU20" s="112" t="str">
        <f t="shared" si="1"/>
        <v>цена марта 2023</v>
      </c>
      <c r="AV20" s="112" t="str">
        <f t="shared" si="1"/>
        <v>цена марта 2023</v>
      </c>
      <c r="AW20" s="112" t="str">
        <f t="shared" si="1"/>
        <v>цена марта 2023</v>
      </c>
      <c r="AX20" s="112" t="str">
        <f t="shared" ref="AX20:BC23" si="23">AW20</f>
        <v>цена марта 2023</v>
      </c>
      <c r="AY20" s="112" t="str">
        <f t="shared" si="23"/>
        <v>цена марта 2023</v>
      </c>
      <c r="AZ20" s="112" t="str">
        <f t="shared" si="23"/>
        <v>цена марта 2023</v>
      </c>
      <c r="BA20" s="243" t="str">
        <f t="shared" si="23"/>
        <v>цена марта 2023</v>
      </c>
      <c r="BB20" s="248" t="str">
        <f t="shared" si="23"/>
        <v>цена марта 2023</v>
      </c>
      <c r="BC20" s="243" t="str">
        <f t="shared" si="23"/>
        <v>цена марта 2023</v>
      </c>
    </row>
    <row r="21" spans="2:55" ht="48.75" customHeight="1" x14ac:dyDescent="0.25">
      <c r="B21" s="116" t="s">
        <v>66</v>
      </c>
      <c r="C21" s="109" t="s">
        <v>71</v>
      </c>
      <c r="D21" s="121"/>
      <c r="E21" s="112">
        <v>495</v>
      </c>
      <c r="F21" s="112">
        <v>495</v>
      </c>
      <c r="G21" s="112">
        <f t="shared" si="0"/>
        <v>495</v>
      </c>
      <c r="H21" s="112">
        <f t="shared" si="0"/>
        <v>495</v>
      </c>
      <c r="I21" s="112">
        <f t="shared" si="0"/>
        <v>495</v>
      </c>
      <c r="J21" s="112">
        <f t="shared" si="1"/>
        <v>495</v>
      </c>
      <c r="K21" s="112">
        <f t="shared" si="1"/>
        <v>495</v>
      </c>
      <c r="L21" s="112">
        <f t="shared" si="1"/>
        <v>495</v>
      </c>
      <c r="M21" s="112">
        <f t="shared" si="1"/>
        <v>495</v>
      </c>
      <c r="N21" s="112">
        <f t="shared" si="1"/>
        <v>495</v>
      </c>
      <c r="O21" s="112">
        <f t="shared" si="1"/>
        <v>495</v>
      </c>
      <c r="P21" s="112">
        <f t="shared" si="1"/>
        <v>495</v>
      </c>
      <c r="Q21" s="112">
        <f t="shared" si="1"/>
        <v>495</v>
      </c>
      <c r="R21" s="112">
        <f t="shared" si="1"/>
        <v>495</v>
      </c>
      <c r="S21" s="112">
        <f t="shared" si="1"/>
        <v>495</v>
      </c>
      <c r="T21" s="112">
        <f t="shared" si="1"/>
        <v>495</v>
      </c>
      <c r="U21" s="112">
        <f t="shared" si="1"/>
        <v>495</v>
      </c>
      <c r="V21" s="112">
        <f t="shared" si="1"/>
        <v>495</v>
      </c>
      <c r="W21" s="112">
        <f t="shared" si="1"/>
        <v>495</v>
      </c>
      <c r="X21" s="112">
        <f t="shared" si="1"/>
        <v>495</v>
      </c>
      <c r="Y21" s="112">
        <f t="shared" si="1"/>
        <v>495</v>
      </c>
      <c r="Z21" s="112">
        <f t="shared" si="1"/>
        <v>495</v>
      </c>
      <c r="AA21" s="112">
        <f t="shared" si="1"/>
        <v>495</v>
      </c>
      <c r="AB21" s="112">
        <f t="shared" si="1"/>
        <v>495</v>
      </c>
      <c r="AC21" s="112">
        <f t="shared" si="1"/>
        <v>495</v>
      </c>
      <c r="AD21" s="112">
        <f t="shared" si="1"/>
        <v>495</v>
      </c>
      <c r="AE21" s="112">
        <f t="shared" si="1"/>
        <v>495</v>
      </c>
      <c r="AF21" s="112">
        <f t="shared" si="1"/>
        <v>495</v>
      </c>
      <c r="AG21" s="112">
        <f t="shared" si="1"/>
        <v>495</v>
      </c>
      <c r="AH21" s="112">
        <f t="shared" si="1"/>
        <v>495</v>
      </c>
      <c r="AI21" s="112">
        <f t="shared" si="1"/>
        <v>495</v>
      </c>
      <c r="AJ21" s="112">
        <f t="shared" si="1"/>
        <v>495</v>
      </c>
      <c r="AK21" s="112">
        <f t="shared" si="1"/>
        <v>495</v>
      </c>
      <c r="AL21" s="112">
        <f t="shared" si="1"/>
        <v>495</v>
      </c>
      <c r="AM21" s="112">
        <f t="shared" si="1"/>
        <v>495</v>
      </c>
      <c r="AN21" s="112">
        <f t="shared" si="1"/>
        <v>495</v>
      </c>
      <c r="AO21" s="112">
        <f t="shared" si="1"/>
        <v>495</v>
      </c>
      <c r="AP21" s="112">
        <f t="shared" si="1"/>
        <v>495</v>
      </c>
      <c r="AQ21" s="112">
        <f t="shared" si="1"/>
        <v>495</v>
      </c>
      <c r="AR21" s="112">
        <f t="shared" si="1"/>
        <v>495</v>
      </c>
      <c r="AS21" s="112">
        <f t="shared" si="1"/>
        <v>495</v>
      </c>
      <c r="AT21" s="112">
        <v>435</v>
      </c>
      <c r="AU21" s="112">
        <v>435</v>
      </c>
      <c r="AV21" s="112">
        <v>435</v>
      </c>
      <c r="AW21" s="112">
        <v>435</v>
      </c>
      <c r="AX21" s="112">
        <v>435</v>
      </c>
      <c r="AY21" s="112">
        <v>435</v>
      </c>
      <c r="AZ21" s="112">
        <v>435</v>
      </c>
      <c r="BA21" s="243">
        <v>435</v>
      </c>
      <c r="BB21" s="248">
        <v>435</v>
      </c>
      <c r="BC21" s="243">
        <v>435</v>
      </c>
    </row>
    <row r="22" spans="2:55" ht="48.75" customHeight="1" x14ac:dyDescent="0.25">
      <c r="B22" s="116" t="s">
        <v>72</v>
      </c>
      <c r="C22" s="109" t="s">
        <v>68</v>
      </c>
      <c r="D22" s="121"/>
      <c r="E22" s="112">
        <v>4560</v>
      </c>
      <c r="F22" s="112">
        <v>4560</v>
      </c>
      <c r="G22" s="112">
        <f t="shared" si="0"/>
        <v>4560</v>
      </c>
      <c r="H22" s="112">
        <f t="shared" si="0"/>
        <v>4560</v>
      </c>
      <c r="I22" s="112">
        <f t="shared" si="0"/>
        <v>4560</v>
      </c>
      <c r="J22" s="112">
        <f t="shared" si="1"/>
        <v>4560</v>
      </c>
      <c r="K22" s="112">
        <f t="shared" si="1"/>
        <v>4560</v>
      </c>
      <c r="L22" s="112">
        <f t="shared" si="1"/>
        <v>4560</v>
      </c>
      <c r="M22" s="114">
        <v>5148</v>
      </c>
      <c r="N22" s="112">
        <v>5148</v>
      </c>
      <c r="O22" s="112">
        <v>5148</v>
      </c>
      <c r="P22" s="112">
        <v>5149</v>
      </c>
      <c r="Q22" s="112">
        <v>5150</v>
      </c>
      <c r="R22" s="112">
        <v>5151</v>
      </c>
      <c r="S22" s="112">
        <v>5152</v>
      </c>
      <c r="T22" s="112">
        <v>5153</v>
      </c>
      <c r="U22" s="112">
        <v>5154</v>
      </c>
      <c r="V22" s="112">
        <v>5154</v>
      </c>
      <c r="W22" s="112">
        <v>5155</v>
      </c>
      <c r="X22" s="112">
        <v>5155</v>
      </c>
      <c r="Y22" s="112">
        <v>5155</v>
      </c>
      <c r="Z22" s="112">
        <v>5155</v>
      </c>
      <c r="AA22" s="112">
        <v>5155</v>
      </c>
      <c r="AB22" s="112">
        <v>5155</v>
      </c>
      <c r="AC22" s="112">
        <v>5180</v>
      </c>
      <c r="AD22" s="112">
        <v>5181</v>
      </c>
      <c r="AE22" s="112">
        <v>5181</v>
      </c>
      <c r="AF22" s="112">
        <v>5181</v>
      </c>
      <c r="AG22" s="112">
        <v>5181</v>
      </c>
      <c r="AH22" s="112">
        <v>5181</v>
      </c>
      <c r="AI22" s="112">
        <v>5181</v>
      </c>
      <c r="AJ22" s="112">
        <v>5181</v>
      </c>
      <c r="AK22" s="112">
        <v>5181</v>
      </c>
      <c r="AL22" s="112">
        <v>5181</v>
      </c>
      <c r="AM22" s="112">
        <v>5181</v>
      </c>
      <c r="AN22" s="112">
        <v>5181</v>
      </c>
      <c r="AO22" s="112">
        <v>5181</v>
      </c>
      <c r="AP22" s="112">
        <v>5181</v>
      </c>
      <c r="AQ22" s="112">
        <v>5600</v>
      </c>
      <c r="AR22" s="112">
        <v>5600</v>
      </c>
      <c r="AS22" s="112">
        <v>5600</v>
      </c>
      <c r="AT22" s="112">
        <v>5600</v>
      </c>
      <c r="AU22" s="112">
        <v>5600</v>
      </c>
      <c r="AV22" s="112">
        <v>5600</v>
      </c>
      <c r="AW22" s="112">
        <v>5600</v>
      </c>
      <c r="AX22" s="112">
        <v>5600</v>
      </c>
      <c r="AY22" s="112">
        <v>5600</v>
      </c>
      <c r="AZ22" s="229">
        <v>6065</v>
      </c>
      <c r="BA22" s="244">
        <v>6065</v>
      </c>
      <c r="BB22" s="249">
        <v>6065</v>
      </c>
      <c r="BC22" s="244">
        <v>6065</v>
      </c>
    </row>
    <row r="23" spans="2:55" ht="48.75" customHeight="1" x14ac:dyDescent="0.25">
      <c r="B23" s="116" t="s">
        <v>73</v>
      </c>
      <c r="C23" s="109" t="s">
        <v>76</v>
      </c>
      <c r="D23" s="121"/>
      <c r="E23" s="112">
        <v>156</v>
      </c>
      <c r="F23" s="112">
        <v>156</v>
      </c>
      <c r="G23" s="112">
        <f t="shared" si="0"/>
        <v>156</v>
      </c>
      <c r="H23" s="112">
        <f t="shared" si="0"/>
        <v>156</v>
      </c>
      <c r="I23" s="112">
        <f t="shared" si="0"/>
        <v>156</v>
      </c>
      <c r="J23" s="112">
        <f t="shared" si="1"/>
        <v>156</v>
      </c>
      <c r="K23" s="112">
        <f t="shared" si="1"/>
        <v>156</v>
      </c>
      <c r="L23" s="112">
        <f t="shared" si="1"/>
        <v>156</v>
      </c>
      <c r="M23" s="112">
        <f t="shared" si="1"/>
        <v>156</v>
      </c>
      <c r="N23" s="112">
        <f t="shared" si="1"/>
        <v>156</v>
      </c>
      <c r="O23" s="112">
        <f t="shared" si="1"/>
        <v>156</v>
      </c>
      <c r="P23" s="112">
        <f t="shared" si="1"/>
        <v>156</v>
      </c>
      <c r="Q23" s="112">
        <f t="shared" si="1"/>
        <v>156</v>
      </c>
      <c r="R23" s="112">
        <f t="shared" si="1"/>
        <v>156</v>
      </c>
      <c r="S23" s="112">
        <f t="shared" si="1"/>
        <v>156</v>
      </c>
      <c r="T23" s="112">
        <f t="shared" si="1"/>
        <v>156</v>
      </c>
      <c r="U23" s="112">
        <f t="shared" si="1"/>
        <v>156</v>
      </c>
      <c r="V23" s="112">
        <f t="shared" si="1"/>
        <v>156</v>
      </c>
      <c r="W23" s="112">
        <f t="shared" si="1"/>
        <v>156</v>
      </c>
      <c r="X23" s="112">
        <f t="shared" si="1"/>
        <v>156</v>
      </c>
      <c r="Y23" s="112">
        <f t="shared" si="1"/>
        <v>156</v>
      </c>
      <c r="Z23" s="112">
        <f t="shared" si="1"/>
        <v>156</v>
      </c>
      <c r="AA23" s="112">
        <f t="shared" si="1"/>
        <v>156</v>
      </c>
      <c r="AB23" s="112">
        <f t="shared" si="1"/>
        <v>156</v>
      </c>
      <c r="AC23" s="112">
        <f t="shared" si="1"/>
        <v>156</v>
      </c>
      <c r="AD23" s="112">
        <f t="shared" si="1"/>
        <v>156</v>
      </c>
      <c r="AE23" s="112">
        <f t="shared" si="1"/>
        <v>156</v>
      </c>
      <c r="AF23" s="112">
        <f t="shared" si="1"/>
        <v>156</v>
      </c>
      <c r="AG23" s="112">
        <f t="shared" si="1"/>
        <v>156</v>
      </c>
      <c r="AH23" s="112">
        <f t="shared" si="1"/>
        <v>156</v>
      </c>
      <c r="AI23" s="112">
        <f t="shared" si="1"/>
        <v>156</v>
      </c>
      <c r="AJ23" s="112">
        <f t="shared" si="1"/>
        <v>156</v>
      </c>
      <c r="AK23" s="112">
        <f t="shared" si="1"/>
        <v>156</v>
      </c>
      <c r="AL23" s="112">
        <f t="shared" si="1"/>
        <v>156</v>
      </c>
      <c r="AM23" s="112">
        <f t="shared" si="1"/>
        <v>156</v>
      </c>
      <c r="AN23" s="112">
        <f t="shared" si="1"/>
        <v>156</v>
      </c>
      <c r="AO23" s="112">
        <f t="shared" si="1"/>
        <v>156</v>
      </c>
      <c r="AP23" s="112">
        <f t="shared" si="1"/>
        <v>156</v>
      </c>
      <c r="AQ23" s="112">
        <f t="shared" si="1"/>
        <v>156</v>
      </c>
      <c r="AR23" s="112">
        <f t="shared" si="1"/>
        <v>156</v>
      </c>
      <c r="AS23" s="112">
        <f t="shared" si="1"/>
        <v>156</v>
      </c>
      <c r="AT23" s="112">
        <f t="shared" si="1"/>
        <v>156</v>
      </c>
      <c r="AU23" s="112">
        <f t="shared" si="1"/>
        <v>156</v>
      </c>
      <c r="AV23" s="112">
        <f t="shared" si="1"/>
        <v>156</v>
      </c>
      <c r="AW23" s="112">
        <f t="shared" si="1"/>
        <v>156</v>
      </c>
      <c r="AX23" s="112">
        <f t="shared" si="23"/>
        <v>156</v>
      </c>
      <c r="AY23" s="112">
        <f t="shared" si="23"/>
        <v>156</v>
      </c>
      <c r="AZ23" s="112">
        <f t="shared" si="23"/>
        <v>156</v>
      </c>
      <c r="BA23" s="243">
        <f t="shared" si="23"/>
        <v>156</v>
      </c>
      <c r="BB23" s="248">
        <f t="shared" si="23"/>
        <v>156</v>
      </c>
      <c r="BC23" s="243">
        <f t="shared" si="23"/>
        <v>156</v>
      </c>
    </row>
    <row r="24" spans="2:55" ht="48.75" customHeight="1" x14ac:dyDescent="0.25">
      <c r="B24" s="116" t="s">
        <v>266</v>
      </c>
      <c r="C24" s="109" t="s">
        <v>75</v>
      </c>
      <c r="D24" s="121"/>
      <c r="E24" s="112"/>
      <c r="F24" s="112"/>
      <c r="G24" s="112"/>
      <c r="H24" s="112"/>
      <c r="I24" s="112"/>
      <c r="J24" s="112"/>
      <c r="K24" s="112"/>
      <c r="L24" s="112"/>
      <c r="M24" s="112"/>
      <c r="N24" s="112"/>
      <c r="O24" s="112"/>
      <c r="P24" s="112"/>
      <c r="Q24" s="112"/>
      <c r="R24" s="112"/>
      <c r="S24" s="112"/>
      <c r="T24" s="112"/>
      <c r="U24" s="112"/>
      <c r="V24" s="112"/>
      <c r="W24" s="112"/>
      <c r="X24" s="112"/>
      <c r="Y24" s="112"/>
      <c r="Z24" s="112"/>
      <c r="AA24" s="112"/>
      <c r="AB24" s="112"/>
      <c r="AC24" s="112"/>
      <c r="AD24" s="112"/>
      <c r="AE24" s="112"/>
      <c r="AF24" s="112"/>
      <c r="AG24" s="112"/>
      <c r="AH24" s="112"/>
      <c r="AI24" s="112"/>
      <c r="AJ24" s="112"/>
      <c r="AK24" s="112"/>
      <c r="AL24" s="112"/>
      <c r="AM24" s="112"/>
      <c r="AN24" s="112"/>
      <c r="AO24" s="112"/>
      <c r="AP24" s="112"/>
      <c r="AQ24" s="112"/>
      <c r="AR24" s="112"/>
      <c r="AS24" s="112"/>
      <c r="AT24" s="112"/>
      <c r="AU24" s="112"/>
      <c r="AV24" s="112"/>
      <c r="AW24" s="112"/>
      <c r="AX24" s="112"/>
      <c r="AY24" s="112"/>
      <c r="AZ24" s="112">
        <f>255*1.22</f>
        <v>311.09999999999997</v>
      </c>
      <c r="BA24" s="243">
        <f>255*1.22</f>
        <v>311.09999999999997</v>
      </c>
      <c r="BB24" s="248">
        <f>255*1.22</f>
        <v>311.09999999999997</v>
      </c>
      <c r="BC24" s="243">
        <f>255*1.22</f>
        <v>311.09999999999997</v>
      </c>
    </row>
    <row r="25" spans="2:55" ht="48.75" customHeight="1" x14ac:dyDescent="0.25">
      <c r="B25" s="116" t="s">
        <v>74</v>
      </c>
      <c r="C25" s="109" t="s">
        <v>75</v>
      </c>
      <c r="D25" s="121"/>
      <c r="E25" s="112">
        <v>474</v>
      </c>
      <c r="F25" s="112">
        <v>474</v>
      </c>
      <c r="G25" s="112">
        <f t="shared" si="0"/>
        <v>474</v>
      </c>
      <c r="H25" s="112">
        <f t="shared" si="0"/>
        <v>474</v>
      </c>
      <c r="I25" s="112">
        <f t="shared" si="0"/>
        <v>474</v>
      </c>
      <c r="J25" s="112">
        <f t="shared" si="1"/>
        <v>474</v>
      </c>
      <c r="K25" s="112">
        <f t="shared" si="1"/>
        <v>474</v>
      </c>
      <c r="L25" s="112">
        <f t="shared" si="1"/>
        <v>474</v>
      </c>
      <c r="M25" s="112">
        <f t="shared" si="1"/>
        <v>474</v>
      </c>
      <c r="N25" s="112">
        <f t="shared" si="1"/>
        <v>474</v>
      </c>
      <c r="O25" s="112">
        <f t="shared" si="1"/>
        <v>474</v>
      </c>
      <c r="P25" s="112">
        <f t="shared" si="1"/>
        <v>474</v>
      </c>
      <c r="Q25" s="112">
        <f t="shared" si="1"/>
        <v>474</v>
      </c>
      <c r="R25" s="112">
        <f t="shared" si="1"/>
        <v>474</v>
      </c>
      <c r="S25" s="112">
        <f t="shared" si="1"/>
        <v>474</v>
      </c>
      <c r="T25" s="112">
        <f t="shared" si="1"/>
        <v>474</v>
      </c>
      <c r="U25" s="112">
        <f t="shared" si="1"/>
        <v>474</v>
      </c>
      <c r="V25" s="112">
        <f t="shared" si="1"/>
        <v>474</v>
      </c>
      <c r="W25" s="112">
        <f t="shared" si="1"/>
        <v>474</v>
      </c>
      <c r="X25" s="112">
        <f t="shared" si="1"/>
        <v>474</v>
      </c>
      <c r="Y25" s="112">
        <f t="shared" si="1"/>
        <v>474</v>
      </c>
      <c r="Z25" s="112">
        <f t="shared" si="1"/>
        <v>474</v>
      </c>
      <c r="AA25" s="112">
        <f t="shared" si="1"/>
        <v>474</v>
      </c>
      <c r="AB25" s="112">
        <f t="shared" si="1"/>
        <v>474</v>
      </c>
      <c r="AC25" s="112">
        <f t="shared" si="1"/>
        <v>474</v>
      </c>
      <c r="AD25" s="112">
        <v>306</v>
      </c>
      <c r="AE25" s="112">
        <v>306</v>
      </c>
      <c r="AF25" s="112">
        <v>306</v>
      </c>
      <c r="AG25" s="112">
        <v>306</v>
      </c>
      <c r="AH25" s="112">
        <v>306</v>
      </c>
      <c r="AI25" s="112">
        <v>306</v>
      </c>
      <c r="AJ25" s="112">
        <v>306</v>
      </c>
      <c r="AK25" s="112">
        <v>306</v>
      </c>
      <c r="AL25" s="112">
        <v>306</v>
      </c>
      <c r="AM25" s="112">
        <v>306</v>
      </c>
      <c r="AN25" s="112">
        <v>306</v>
      </c>
      <c r="AO25" s="112">
        <v>306</v>
      </c>
      <c r="AP25" s="112">
        <v>306</v>
      </c>
      <c r="AQ25" s="112">
        <v>326</v>
      </c>
      <c r="AR25" s="112">
        <v>326</v>
      </c>
      <c r="AS25" s="112">
        <v>326</v>
      </c>
      <c r="AT25" s="112">
        <v>326</v>
      </c>
      <c r="AU25" s="112">
        <v>326</v>
      </c>
      <c r="AV25" s="112">
        <v>326</v>
      </c>
      <c r="AW25" s="112">
        <v>326</v>
      </c>
      <c r="AX25" s="112">
        <v>326</v>
      </c>
      <c r="AY25" s="112">
        <v>326</v>
      </c>
      <c r="AZ25" s="112">
        <v>326</v>
      </c>
      <c r="BA25" s="243">
        <v>326</v>
      </c>
      <c r="BB25" s="248">
        <v>326</v>
      </c>
      <c r="BC25" s="243">
        <v>326</v>
      </c>
    </row>
    <row r="26" spans="2:55" ht="48.75" customHeight="1" x14ac:dyDescent="0.25">
      <c r="B26" s="116" t="s">
        <v>77</v>
      </c>
      <c r="C26" s="109" t="s">
        <v>78</v>
      </c>
      <c r="D26" s="121">
        <v>412</v>
      </c>
      <c r="E26" s="112">
        <v>480</v>
      </c>
      <c r="F26" s="112">
        <v>480</v>
      </c>
      <c r="G26" s="112">
        <f t="shared" si="0"/>
        <v>480</v>
      </c>
      <c r="H26" s="112">
        <f t="shared" si="0"/>
        <v>480</v>
      </c>
      <c r="I26" s="112">
        <f t="shared" si="0"/>
        <v>480</v>
      </c>
      <c r="J26" s="112">
        <f t="shared" si="1"/>
        <v>480</v>
      </c>
      <c r="K26" s="112">
        <f t="shared" si="1"/>
        <v>480</v>
      </c>
      <c r="L26" s="112">
        <f t="shared" si="1"/>
        <v>480</v>
      </c>
      <c r="M26" s="112">
        <f t="shared" si="1"/>
        <v>480</v>
      </c>
      <c r="N26" s="112">
        <f t="shared" si="1"/>
        <v>480</v>
      </c>
      <c r="O26" s="112">
        <f t="shared" si="1"/>
        <v>480</v>
      </c>
      <c r="P26" s="112">
        <f t="shared" si="1"/>
        <v>480</v>
      </c>
      <c r="Q26" s="112">
        <f t="shared" si="1"/>
        <v>480</v>
      </c>
      <c r="R26" s="112">
        <f t="shared" si="1"/>
        <v>480</v>
      </c>
      <c r="S26" s="112">
        <f t="shared" si="1"/>
        <v>480</v>
      </c>
      <c r="T26" s="112">
        <f t="shared" si="1"/>
        <v>480</v>
      </c>
      <c r="U26" s="112">
        <f t="shared" si="1"/>
        <v>480</v>
      </c>
      <c r="V26" s="112">
        <f t="shared" si="1"/>
        <v>480</v>
      </c>
      <c r="W26" s="112">
        <f t="shared" si="1"/>
        <v>480</v>
      </c>
      <c r="X26" s="112">
        <f t="shared" si="1"/>
        <v>480</v>
      </c>
      <c r="Y26" s="112">
        <f t="shared" si="1"/>
        <v>480</v>
      </c>
      <c r="Z26" s="112">
        <f t="shared" si="1"/>
        <v>480</v>
      </c>
      <c r="AA26" s="112">
        <v>463</v>
      </c>
      <c r="AB26" s="112">
        <v>463</v>
      </c>
      <c r="AC26" s="112">
        <v>463</v>
      </c>
      <c r="AD26" s="112">
        <v>430.59</v>
      </c>
      <c r="AE26" s="112">
        <v>430.59</v>
      </c>
      <c r="AF26" s="112">
        <v>430.59</v>
      </c>
      <c r="AG26" s="112">
        <v>430.59</v>
      </c>
      <c r="AH26" s="112">
        <v>430.59</v>
      </c>
      <c r="AI26" s="112">
        <v>410</v>
      </c>
      <c r="AJ26" s="112">
        <v>410</v>
      </c>
      <c r="AK26" s="112">
        <v>410</v>
      </c>
      <c r="AL26" s="112">
        <v>410</v>
      </c>
      <c r="AM26" s="112">
        <v>410</v>
      </c>
      <c r="AN26" s="112">
        <v>410</v>
      </c>
      <c r="AO26" s="112">
        <v>410</v>
      </c>
      <c r="AP26" s="112">
        <v>410</v>
      </c>
      <c r="AQ26" s="112">
        <v>410</v>
      </c>
      <c r="AR26" s="112">
        <v>410</v>
      </c>
      <c r="AS26" s="112">
        <v>410</v>
      </c>
      <c r="AT26" s="112">
        <v>410</v>
      </c>
      <c r="AU26" s="112">
        <v>410</v>
      </c>
      <c r="AV26" s="112">
        <v>410</v>
      </c>
      <c r="AW26" s="112">
        <v>410</v>
      </c>
      <c r="AX26" s="112">
        <v>416.3</v>
      </c>
      <c r="AY26" s="112">
        <v>416.3</v>
      </c>
      <c r="AZ26" s="112">
        <v>416.3</v>
      </c>
      <c r="BA26" s="243">
        <v>416.3</v>
      </c>
      <c r="BB26" s="248">
        <v>416.3</v>
      </c>
      <c r="BC26" s="243">
        <v>416.3</v>
      </c>
    </row>
    <row r="27" spans="2:55" ht="48.75" customHeight="1" x14ac:dyDescent="0.25">
      <c r="B27" s="116" t="s">
        <v>79</v>
      </c>
      <c r="C27" s="109" t="s">
        <v>80</v>
      </c>
      <c r="D27" s="121"/>
      <c r="E27" s="112">
        <v>1745</v>
      </c>
      <c r="F27" s="112">
        <v>1745</v>
      </c>
      <c r="G27" s="112">
        <f t="shared" si="0"/>
        <v>1745</v>
      </c>
      <c r="H27" s="112">
        <f t="shared" si="0"/>
        <v>1745</v>
      </c>
      <c r="I27" s="112">
        <f t="shared" si="0"/>
        <v>1745</v>
      </c>
      <c r="J27" s="112">
        <f t="shared" si="1"/>
        <v>1745</v>
      </c>
      <c r="K27" s="112">
        <f t="shared" si="1"/>
        <v>1745</v>
      </c>
      <c r="L27" s="112">
        <f t="shared" si="1"/>
        <v>1745</v>
      </c>
      <c r="M27" s="112">
        <f t="shared" si="1"/>
        <v>1745</v>
      </c>
      <c r="N27" s="112">
        <f t="shared" si="1"/>
        <v>1745</v>
      </c>
      <c r="O27" s="112">
        <f t="shared" si="1"/>
        <v>1745</v>
      </c>
      <c r="P27" s="112">
        <f t="shared" si="1"/>
        <v>1745</v>
      </c>
      <c r="Q27" s="112">
        <f t="shared" si="1"/>
        <v>1745</v>
      </c>
      <c r="R27" s="112">
        <f t="shared" si="1"/>
        <v>1745</v>
      </c>
      <c r="S27" s="112">
        <f t="shared" si="1"/>
        <v>1745</v>
      </c>
      <c r="T27" s="112">
        <f t="shared" si="1"/>
        <v>1745</v>
      </c>
      <c r="U27" s="112">
        <f t="shared" si="1"/>
        <v>1745</v>
      </c>
      <c r="V27" s="112">
        <f t="shared" si="1"/>
        <v>1745</v>
      </c>
      <c r="W27" s="112">
        <f t="shared" si="1"/>
        <v>1745</v>
      </c>
      <c r="X27" s="112">
        <f t="shared" si="1"/>
        <v>1745</v>
      </c>
      <c r="Y27" s="112">
        <f t="shared" si="1"/>
        <v>1745</v>
      </c>
      <c r="Z27" s="112">
        <f t="shared" si="1"/>
        <v>1745</v>
      </c>
      <c r="AA27" s="112">
        <f t="shared" si="1"/>
        <v>1745</v>
      </c>
      <c r="AB27" s="112">
        <f t="shared" si="1"/>
        <v>1745</v>
      </c>
      <c r="AC27" s="112">
        <f t="shared" si="1"/>
        <v>1745</v>
      </c>
      <c r="AD27" s="112">
        <f t="shared" si="1"/>
        <v>1745</v>
      </c>
      <c r="AE27" s="112">
        <f t="shared" si="1"/>
        <v>1745</v>
      </c>
      <c r="AF27" s="112">
        <f t="shared" si="1"/>
        <v>1745</v>
      </c>
      <c r="AG27" s="112">
        <f t="shared" si="1"/>
        <v>1745</v>
      </c>
      <c r="AH27" s="112">
        <f t="shared" si="1"/>
        <v>1745</v>
      </c>
      <c r="AI27" s="112">
        <f t="shared" si="1"/>
        <v>1745</v>
      </c>
      <c r="AJ27" s="112">
        <f t="shared" si="1"/>
        <v>1745</v>
      </c>
      <c r="AK27" s="112">
        <f t="shared" si="1"/>
        <v>1745</v>
      </c>
      <c r="AL27" s="112">
        <f t="shared" si="1"/>
        <v>1745</v>
      </c>
      <c r="AM27" s="112">
        <f t="shared" si="1"/>
        <v>1745</v>
      </c>
      <c r="AN27" s="112">
        <f t="shared" si="1"/>
        <v>1745</v>
      </c>
      <c r="AO27" s="112">
        <v>839.05</v>
      </c>
      <c r="AP27" s="112">
        <v>839.05</v>
      </c>
      <c r="AQ27" s="112">
        <v>839.05</v>
      </c>
      <c r="AR27" s="112">
        <v>839.05</v>
      </c>
      <c r="AS27" s="112">
        <v>839.05</v>
      </c>
      <c r="AT27" s="112">
        <v>839.05</v>
      </c>
      <c r="AU27" s="112">
        <v>839.05</v>
      </c>
      <c r="AV27" s="112">
        <v>839.05</v>
      </c>
      <c r="AW27" s="112">
        <v>839.05</v>
      </c>
      <c r="AX27" s="112">
        <v>839.05</v>
      </c>
      <c r="AY27" s="112">
        <v>839.05</v>
      </c>
      <c r="AZ27" s="112">
        <v>839.05</v>
      </c>
      <c r="BA27" s="243">
        <v>839.05</v>
      </c>
      <c r="BB27" s="248">
        <v>839.05</v>
      </c>
      <c r="BC27" s="243">
        <v>839.05</v>
      </c>
    </row>
    <row r="28" spans="2:55" ht="48.75" customHeight="1" x14ac:dyDescent="0.25">
      <c r="B28" s="127" t="s">
        <v>161</v>
      </c>
      <c r="C28" s="128" t="s">
        <v>162</v>
      </c>
      <c r="D28" s="1" t="s">
        <v>125</v>
      </c>
      <c r="BA28" s="245"/>
      <c r="BB28" s="250"/>
      <c r="BC28" s="245"/>
    </row>
    <row r="29" spans="2:55" ht="48.75" customHeight="1" x14ac:dyDescent="0.25">
      <c r="B29" s="122" t="s">
        <v>126</v>
      </c>
      <c r="AW29" s="123">
        <v>17560.82</v>
      </c>
      <c r="BA29" s="245"/>
      <c r="BB29" s="250"/>
      <c r="BC29" s="245"/>
    </row>
    <row r="30" spans="2:55" ht="48.75" customHeight="1" x14ac:dyDescent="0.25">
      <c r="B30" s="122" t="s">
        <v>127</v>
      </c>
      <c r="AW30" s="123">
        <v>26601.56</v>
      </c>
      <c r="BA30" s="245"/>
      <c r="BB30" s="250"/>
      <c r="BC30" s="245"/>
    </row>
    <row r="31" spans="2:55" ht="48.75" customHeight="1" x14ac:dyDescent="0.25">
      <c r="B31" s="122" t="s">
        <v>128</v>
      </c>
      <c r="AW31" s="123">
        <v>44982.17</v>
      </c>
      <c r="BA31" s="245"/>
      <c r="BB31" s="250"/>
      <c r="BC31" s="245"/>
    </row>
    <row r="32" spans="2:55" ht="48.75" customHeight="1" x14ac:dyDescent="0.25">
      <c r="B32" s="122" t="s">
        <v>129</v>
      </c>
      <c r="AW32" s="123">
        <v>73486.25</v>
      </c>
      <c r="BA32" s="245"/>
      <c r="BB32" s="250"/>
      <c r="BC32" s="245"/>
    </row>
    <row r="33" spans="2:55" ht="48.75" customHeight="1" x14ac:dyDescent="0.25">
      <c r="B33" s="122" t="s">
        <v>130</v>
      </c>
      <c r="AW33" s="123">
        <v>73486.25</v>
      </c>
      <c r="BA33" s="245"/>
      <c r="BB33" s="250"/>
      <c r="BC33" s="245"/>
    </row>
    <row r="34" spans="2:55" ht="48.75" customHeight="1" x14ac:dyDescent="0.25">
      <c r="B34" s="122" t="s">
        <v>131</v>
      </c>
      <c r="AW34" s="123">
        <v>31037.84</v>
      </c>
      <c r="BA34" s="245"/>
      <c r="BB34" s="250"/>
      <c r="BC34" s="245"/>
    </row>
    <row r="35" spans="2:55" ht="48.75" customHeight="1" x14ac:dyDescent="0.25">
      <c r="B35" s="122" t="s">
        <v>132</v>
      </c>
      <c r="AW35" s="123">
        <v>48308.72</v>
      </c>
      <c r="BA35" s="245"/>
      <c r="BB35" s="250"/>
      <c r="BC35" s="245"/>
    </row>
    <row r="36" spans="2:55" ht="48.75" customHeight="1" x14ac:dyDescent="0.25">
      <c r="B36" s="122" t="s">
        <v>133</v>
      </c>
      <c r="AW36" s="123">
        <v>17977.36</v>
      </c>
      <c r="BA36" s="245"/>
      <c r="BB36" s="250"/>
      <c r="BC36" s="245"/>
    </row>
    <row r="37" spans="2:55" ht="48.75" customHeight="1" x14ac:dyDescent="0.25">
      <c r="B37" s="122" t="s">
        <v>134</v>
      </c>
      <c r="AW37" s="123">
        <v>17977.36</v>
      </c>
      <c r="BA37" s="245"/>
      <c r="BB37" s="250"/>
      <c r="BC37" s="245"/>
    </row>
    <row r="38" spans="2:55" ht="48.75" customHeight="1" x14ac:dyDescent="0.25">
      <c r="B38" s="122" t="s">
        <v>135</v>
      </c>
      <c r="AW38" s="123"/>
      <c r="BA38" s="245"/>
      <c r="BB38" s="250"/>
      <c r="BC38" s="245"/>
    </row>
    <row r="39" spans="2:55" ht="48.75" customHeight="1" x14ac:dyDescent="0.25">
      <c r="B39" s="122" t="s">
        <v>136</v>
      </c>
      <c r="AW39" s="123">
        <v>34626.93</v>
      </c>
      <c r="BA39" s="245"/>
      <c r="BB39" s="250"/>
      <c r="BC39" s="245"/>
    </row>
    <row r="40" spans="2:55" ht="48.75" customHeight="1" x14ac:dyDescent="0.25">
      <c r="B40" s="122" t="s">
        <v>137</v>
      </c>
      <c r="AW40" s="123">
        <v>64426.65</v>
      </c>
      <c r="BA40" s="245"/>
      <c r="BB40" s="250"/>
      <c r="BC40" s="245"/>
    </row>
    <row r="41" spans="2:55" ht="48.75" customHeight="1" x14ac:dyDescent="0.25">
      <c r="B41" s="122" t="s">
        <v>138</v>
      </c>
      <c r="AW41" s="123">
        <v>64426.65</v>
      </c>
      <c r="BA41" s="245"/>
      <c r="BB41" s="250"/>
      <c r="BC41" s="245"/>
    </row>
    <row r="42" spans="2:55" ht="48.75" customHeight="1" x14ac:dyDescent="0.25">
      <c r="B42" s="122" t="s">
        <v>139</v>
      </c>
      <c r="AW42" s="123">
        <v>36472.269999999997</v>
      </c>
      <c r="BA42" s="245"/>
      <c r="BB42" s="250"/>
      <c r="BC42" s="245"/>
    </row>
    <row r="43" spans="2:55" ht="48.75" customHeight="1" x14ac:dyDescent="0.25">
      <c r="B43" s="122" t="s">
        <v>140</v>
      </c>
      <c r="AW43" s="123">
        <v>73398.009999999995</v>
      </c>
      <c r="BA43" s="245"/>
      <c r="BB43" s="250"/>
      <c r="BC43" s="245"/>
    </row>
    <row r="44" spans="2:55" ht="48.75" customHeight="1" x14ac:dyDescent="0.25">
      <c r="B44" s="122" t="s">
        <v>141</v>
      </c>
      <c r="AW44" s="123">
        <v>73398.009999999995</v>
      </c>
      <c r="BA44" s="245"/>
      <c r="BB44" s="250"/>
      <c r="BC44" s="245"/>
    </row>
    <row r="45" spans="2:55" ht="48.75" customHeight="1" x14ac:dyDescent="0.25">
      <c r="B45" s="122" t="s">
        <v>139</v>
      </c>
      <c r="AW45" s="123">
        <v>55454.12</v>
      </c>
      <c r="BA45" s="245"/>
      <c r="BB45" s="250"/>
      <c r="BC45" s="245"/>
    </row>
    <row r="46" spans="2:55" ht="48.75" customHeight="1" x14ac:dyDescent="0.25">
      <c r="B46" s="122" t="s">
        <v>140</v>
      </c>
      <c r="AW46" s="123">
        <v>92379.86</v>
      </c>
      <c r="BA46" s="245"/>
      <c r="BB46" s="250"/>
      <c r="BC46" s="245"/>
    </row>
    <row r="47" spans="2:55" ht="48.75" customHeight="1" x14ac:dyDescent="0.25">
      <c r="B47" s="122" t="s">
        <v>141</v>
      </c>
      <c r="AW47" s="123">
        <v>92379.86</v>
      </c>
      <c r="BA47" s="245"/>
      <c r="BB47" s="250"/>
      <c r="BC47" s="245"/>
    </row>
    <row r="48" spans="2:55" ht="48.75" customHeight="1" x14ac:dyDescent="0.25">
      <c r="B48" s="122" t="s">
        <v>142</v>
      </c>
      <c r="AW48" s="123">
        <v>405068.71</v>
      </c>
      <c r="BA48" s="245"/>
      <c r="BB48" s="250"/>
      <c r="BC48" s="245"/>
    </row>
    <row r="49" spans="2:55" ht="48.75" customHeight="1" x14ac:dyDescent="0.25">
      <c r="B49" s="122" t="s">
        <v>143</v>
      </c>
      <c r="AW49" s="123">
        <v>363906.22</v>
      </c>
      <c r="BA49" s="245"/>
      <c r="BB49" s="250"/>
      <c r="BC49" s="245"/>
    </row>
    <row r="50" spans="2:55" ht="48.75" customHeight="1" x14ac:dyDescent="0.25">
      <c r="B50" s="122" t="s">
        <v>144</v>
      </c>
      <c r="AW50" s="123">
        <v>265579.19</v>
      </c>
      <c r="BA50" s="245"/>
      <c r="BB50" s="250"/>
      <c r="BC50" s="245"/>
    </row>
    <row r="51" spans="2:55" ht="48.75" customHeight="1" x14ac:dyDescent="0.25">
      <c r="B51" s="122" t="s">
        <v>145</v>
      </c>
      <c r="AW51" s="123">
        <v>300328.25</v>
      </c>
      <c r="BA51" s="245"/>
      <c r="BB51" s="250"/>
      <c r="BC51" s="245"/>
    </row>
    <row r="52" spans="2:55" ht="48.75" customHeight="1" x14ac:dyDescent="0.25">
      <c r="B52" s="122" t="s">
        <v>146</v>
      </c>
      <c r="AW52" s="123">
        <v>226662.17</v>
      </c>
      <c r="BA52" s="245"/>
      <c r="BB52" s="250"/>
      <c r="BC52" s="245"/>
    </row>
    <row r="53" spans="2:55" ht="48.75" customHeight="1" x14ac:dyDescent="0.25">
      <c r="B53" s="122" t="s">
        <v>147</v>
      </c>
      <c r="AW53" s="123">
        <v>197497.31</v>
      </c>
      <c r="BA53" s="245"/>
      <c r="BB53" s="250"/>
      <c r="BC53" s="245"/>
    </row>
    <row r="54" spans="2:55" ht="48.75" customHeight="1" x14ac:dyDescent="0.25">
      <c r="B54" s="122" t="s">
        <v>148</v>
      </c>
      <c r="AW54" s="123"/>
      <c r="BA54" s="245"/>
      <c r="BB54" s="250"/>
      <c r="BC54" s="245"/>
    </row>
    <row r="55" spans="2:55" ht="48.75" customHeight="1" x14ac:dyDescent="0.25">
      <c r="B55" s="122" t="s">
        <v>149</v>
      </c>
      <c r="AW55" s="123"/>
      <c r="BA55" s="245"/>
      <c r="BB55" s="250"/>
      <c r="BC55" s="245"/>
    </row>
    <row r="56" spans="2:55" ht="48.75" customHeight="1" x14ac:dyDescent="0.25">
      <c r="B56" s="122" t="s">
        <v>150</v>
      </c>
      <c r="AW56" s="123"/>
      <c r="BA56" s="245"/>
      <c r="BB56" s="250"/>
      <c r="BC56" s="245"/>
    </row>
    <row r="57" spans="2:55" ht="48.75" customHeight="1" x14ac:dyDescent="0.25">
      <c r="B57" s="122" t="s">
        <v>151</v>
      </c>
      <c r="AW57" s="123"/>
      <c r="BA57" s="245"/>
      <c r="BB57" s="250"/>
      <c r="BC57" s="245"/>
    </row>
    <row r="58" spans="2:55" ht="48.75" customHeight="1" x14ac:dyDescent="0.25">
      <c r="B58" s="122" t="s">
        <v>152</v>
      </c>
      <c r="AW58" s="124">
        <v>64904</v>
      </c>
      <c r="BA58" s="245"/>
      <c r="BB58" s="250"/>
      <c r="BC58" s="245"/>
    </row>
    <row r="59" spans="2:55" ht="48.75" customHeight="1" x14ac:dyDescent="0.25">
      <c r="B59" s="122" t="s">
        <v>153</v>
      </c>
      <c r="AW59" s="125">
        <v>69845</v>
      </c>
      <c r="BA59" s="245"/>
      <c r="BB59" s="250"/>
      <c r="BC59" s="245"/>
    </row>
    <row r="60" spans="2:55" ht="48.75" customHeight="1" x14ac:dyDescent="0.25">
      <c r="B60" s="122" t="s">
        <v>154</v>
      </c>
      <c r="AW60" s="125">
        <v>75335</v>
      </c>
      <c r="BA60" s="245"/>
      <c r="BB60" s="250"/>
      <c r="BC60" s="245"/>
    </row>
    <row r="61" spans="2:55" ht="48.75" customHeight="1" x14ac:dyDescent="0.25">
      <c r="B61" s="122" t="s">
        <v>155</v>
      </c>
      <c r="AW61" s="126">
        <v>83570</v>
      </c>
      <c r="BA61" s="245"/>
      <c r="BB61" s="250"/>
      <c r="BC61" s="245"/>
    </row>
    <row r="62" spans="2:55" ht="48.75" customHeight="1" x14ac:dyDescent="0.25">
      <c r="B62" s="122" t="s">
        <v>156</v>
      </c>
      <c r="AW62" s="123">
        <v>95526</v>
      </c>
    </row>
    <row r="63" spans="2:55" ht="48.75" customHeight="1" x14ac:dyDescent="0.25">
      <c r="B63" s="122" t="s">
        <v>157</v>
      </c>
      <c r="AW63" s="123">
        <v>108702</v>
      </c>
    </row>
    <row r="64" spans="2:55" ht="48.75" customHeight="1" x14ac:dyDescent="0.25">
      <c r="B64" s="122" t="s">
        <v>158</v>
      </c>
      <c r="AW64" s="123">
        <v>182817</v>
      </c>
    </row>
    <row r="65" spans="2:49" ht="48.75" customHeight="1" x14ac:dyDescent="0.25">
      <c r="B65" s="122" t="s">
        <v>159</v>
      </c>
      <c r="AW65" s="123">
        <v>139324</v>
      </c>
    </row>
    <row r="66" spans="2:49" ht="48.75" customHeight="1" x14ac:dyDescent="0.25">
      <c r="B66" s="122" t="s">
        <v>160</v>
      </c>
      <c r="AW66" s="123">
        <v>156343</v>
      </c>
    </row>
  </sheetData>
  <mergeCells count="1">
    <mergeCell ref="B2:C2"/>
  </mergeCells>
  <phoneticPr fontId="11" type="noConversion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2599CED-7201-41CB-A7FB-C4D6E9C5F8C9}">
  <dimension ref="A1:N48"/>
  <sheetViews>
    <sheetView topLeftCell="A28" workbookViewId="0">
      <selection activeCell="E44" sqref="E44"/>
    </sheetView>
  </sheetViews>
  <sheetFormatPr defaultColWidth="8" defaultRowHeight="15" x14ac:dyDescent="0.25"/>
  <cols>
    <col min="1" max="1" width="5.140625" style="225" customWidth="1"/>
    <col min="2" max="2" width="36.5703125" style="226" customWidth="1"/>
    <col min="3" max="3" width="15.28515625" style="225" customWidth="1"/>
    <col min="4" max="4" width="14.42578125" style="227" customWidth="1"/>
    <col min="5" max="6" width="15.28515625" style="228" customWidth="1"/>
    <col min="7" max="7" width="12.7109375" style="130" customWidth="1"/>
    <col min="8" max="8" width="4.85546875" style="133" customWidth="1"/>
    <col min="9" max="9" width="30.42578125" style="171" customWidth="1"/>
    <col min="10" max="10" width="12.7109375" style="133" customWidth="1"/>
    <col min="11" max="11" width="13" style="133" customWidth="1"/>
    <col min="12" max="13" width="14.28515625" style="173" customWidth="1"/>
    <col min="14" max="14" width="15.85546875" style="132" customWidth="1"/>
    <col min="15" max="16384" width="8" style="133"/>
  </cols>
  <sheetData>
    <row r="1" spans="1:13" ht="34.5" customHeight="1" thickBot="1" x14ac:dyDescent="0.3">
      <c r="A1" s="278" t="s">
        <v>173</v>
      </c>
      <c r="B1" s="278"/>
      <c r="C1" s="278"/>
      <c r="D1" s="278"/>
      <c r="E1" s="278"/>
      <c r="F1" s="129"/>
      <c r="H1" s="279" t="s">
        <v>174</v>
      </c>
      <c r="I1" s="279"/>
      <c r="J1" s="279"/>
      <c r="K1" s="279"/>
      <c r="L1" s="279"/>
      <c r="M1" s="131"/>
    </row>
    <row r="2" spans="1:13" ht="45.75" thickBot="1" x14ac:dyDescent="0.3">
      <c r="A2" s="134" t="s">
        <v>175</v>
      </c>
      <c r="B2" s="276" t="s">
        <v>176</v>
      </c>
      <c r="C2" s="277"/>
      <c r="D2" s="135" t="s">
        <v>177</v>
      </c>
      <c r="E2" s="136" t="s">
        <v>178</v>
      </c>
      <c r="F2" s="137" t="s">
        <v>179</v>
      </c>
      <c r="H2" s="134" t="s">
        <v>175</v>
      </c>
      <c r="I2" s="276" t="s">
        <v>176</v>
      </c>
      <c r="J2" s="277"/>
      <c r="K2" s="138" t="s">
        <v>177</v>
      </c>
      <c r="L2" s="137" t="s">
        <v>180</v>
      </c>
      <c r="M2" s="137" t="s">
        <v>179</v>
      </c>
    </row>
    <row r="3" spans="1:13" ht="30" x14ac:dyDescent="0.25">
      <c r="A3" s="139">
        <v>1</v>
      </c>
      <c r="B3" s="140" t="s">
        <v>181</v>
      </c>
      <c r="C3" s="141"/>
      <c r="D3" s="142">
        <v>1.4890000000000001</v>
      </c>
      <c r="E3" s="143">
        <f t="shared" ref="E3:E33" si="0">D3*($L$48+F3)</f>
        <v>737.05500000000006</v>
      </c>
      <c r="F3" s="144"/>
      <c r="H3" s="139">
        <v>1</v>
      </c>
      <c r="I3" s="145" t="s">
        <v>182</v>
      </c>
      <c r="J3" s="146"/>
      <c r="K3" s="147">
        <v>4.3470000000000004</v>
      </c>
      <c r="L3" s="148">
        <f t="shared" ref="L3:L5" si="1">K3*($L$48+M3)</f>
        <v>2151.7650000000003</v>
      </c>
      <c r="M3" s="149"/>
    </row>
    <row r="4" spans="1:13" ht="30" x14ac:dyDescent="0.25">
      <c r="A4" s="150">
        <v>2</v>
      </c>
      <c r="B4" s="151" t="s">
        <v>183</v>
      </c>
      <c r="C4" s="152"/>
      <c r="D4" s="153">
        <v>1.2529999999999999</v>
      </c>
      <c r="E4" s="143">
        <f t="shared" si="0"/>
        <v>620.2349999999999</v>
      </c>
      <c r="F4" s="154"/>
      <c r="H4" s="150">
        <v>2</v>
      </c>
      <c r="I4" s="155" t="s">
        <v>184</v>
      </c>
      <c r="J4" s="156"/>
      <c r="K4" s="157">
        <v>4.9429999999999996</v>
      </c>
      <c r="L4" s="158">
        <f t="shared" si="1"/>
        <v>2446.7849999999999</v>
      </c>
      <c r="M4" s="159"/>
    </row>
    <row r="5" spans="1:13" ht="30" x14ac:dyDescent="0.25">
      <c r="A5" s="150">
        <v>3</v>
      </c>
      <c r="B5" s="151" t="s">
        <v>185</v>
      </c>
      <c r="C5" s="152"/>
      <c r="D5" s="153">
        <v>0.99299999999999999</v>
      </c>
      <c r="E5" s="143">
        <f t="shared" si="0"/>
        <v>491.53500000000003</v>
      </c>
      <c r="F5" s="154"/>
      <c r="H5" s="150">
        <v>3</v>
      </c>
      <c r="I5" s="155" t="s">
        <v>186</v>
      </c>
      <c r="J5" s="156"/>
      <c r="K5" s="157">
        <v>3.7989999999999999</v>
      </c>
      <c r="L5" s="158">
        <f t="shared" si="1"/>
        <v>1880.5049999999999</v>
      </c>
      <c r="M5" s="159"/>
    </row>
    <row r="6" spans="1:13" ht="30" x14ac:dyDescent="0.25">
      <c r="A6" s="150">
        <v>4</v>
      </c>
      <c r="B6" s="151" t="s">
        <v>187</v>
      </c>
      <c r="C6" s="152"/>
      <c r="D6" s="153">
        <v>0.78900000000000003</v>
      </c>
      <c r="E6" s="143">
        <f t="shared" si="0"/>
        <v>390.55500000000001</v>
      </c>
      <c r="F6" s="154"/>
      <c r="H6" s="150">
        <v>4</v>
      </c>
      <c r="I6" s="155" t="s">
        <v>188</v>
      </c>
      <c r="J6" s="160" t="s">
        <v>189</v>
      </c>
      <c r="K6" s="157">
        <v>1.381</v>
      </c>
      <c r="L6" s="158">
        <f>K6*($L$48+M6)</f>
        <v>794.48929999999996</v>
      </c>
      <c r="M6" s="161">
        <f>80.3</f>
        <v>80.3</v>
      </c>
    </row>
    <row r="7" spans="1:13" ht="30" x14ac:dyDescent="0.25">
      <c r="A7" s="150">
        <v>5</v>
      </c>
      <c r="B7" s="151" t="s">
        <v>190</v>
      </c>
      <c r="C7" s="152"/>
      <c r="D7" s="153">
        <v>3.516</v>
      </c>
      <c r="E7" s="143">
        <f t="shared" si="0"/>
        <v>1740.42</v>
      </c>
      <c r="F7" s="154"/>
      <c r="H7" s="150">
        <v>5</v>
      </c>
      <c r="I7" s="155" t="s">
        <v>191</v>
      </c>
      <c r="J7" s="160" t="s">
        <v>192</v>
      </c>
      <c r="K7" s="157">
        <v>1.706</v>
      </c>
      <c r="L7" s="158">
        <f t="shared" ref="L7:L15" si="2">K7*($L$48+M7)</f>
        <v>844.47</v>
      </c>
      <c r="M7" s="159"/>
    </row>
    <row r="8" spans="1:13" ht="30" x14ac:dyDescent="0.25">
      <c r="A8" s="150">
        <v>6</v>
      </c>
      <c r="B8" s="151" t="s">
        <v>193</v>
      </c>
      <c r="C8" s="152"/>
      <c r="D8" s="153">
        <v>3.5150000000000001</v>
      </c>
      <c r="E8" s="143">
        <f t="shared" si="0"/>
        <v>1739.925</v>
      </c>
      <c r="F8" s="154"/>
      <c r="H8" s="150">
        <v>6</v>
      </c>
      <c r="I8" s="155" t="s">
        <v>194</v>
      </c>
      <c r="J8" s="156"/>
      <c r="K8" s="157">
        <v>4.6390000000000002</v>
      </c>
      <c r="L8" s="158">
        <f t="shared" si="2"/>
        <v>2296.3050000000003</v>
      </c>
      <c r="M8" s="159"/>
    </row>
    <row r="9" spans="1:13" ht="30" x14ac:dyDescent="0.25">
      <c r="A9" s="150">
        <v>7</v>
      </c>
      <c r="B9" s="151" t="s">
        <v>195</v>
      </c>
      <c r="C9" s="152"/>
      <c r="D9" s="153">
        <v>4.3280000000000003</v>
      </c>
      <c r="E9" s="143">
        <f t="shared" si="0"/>
        <v>2142.36</v>
      </c>
      <c r="F9" s="154"/>
      <c r="H9" s="150">
        <v>7</v>
      </c>
      <c r="I9" s="155" t="s">
        <v>196</v>
      </c>
      <c r="J9" s="156"/>
      <c r="K9" s="157">
        <v>3.09</v>
      </c>
      <c r="L9" s="158">
        <f t="shared" si="2"/>
        <v>1529.55</v>
      </c>
      <c r="M9" s="159"/>
    </row>
    <row r="10" spans="1:13" ht="30" x14ac:dyDescent="0.25">
      <c r="A10" s="150">
        <v>8</v>
      </c>
      <c r="B10" s="151" t="s">
        <v>197</v>
      </c>
      <c r="C10" s="162"/>
      <c r="D10" s="153">
        <v>4.3280000000000003</v>
      </c>
      <c r="E10" s="143">
        <f t="shared" si="0"/>
        <v>2142.36</v>
      </c>
      <c r="F10" s="154"/>
      <c r="H10" s="150">
        <v>8</v>
      </c>
      <c r="I10" s="155" t="s">
        <v>198</v>
      </c>
      <c r="J10" s="156"/>
      <c r="K10" s="157">
        <v>3.09</v>
      </c>
      <c r="L10" s="158">
        <f t="shared" si="2"/>
        <v>1529.55</v>
      </c>
      <c r="M10" s="159"/>
    </row>
    <row r="11" spans="1:13" ht="30" x14ac:dyDescent="0.25">
      <c r="A11" s="150">
        <v>9</v>
      </c>
      <c r="B11" s="151" t="s">
        <v>199</v>
      </c>
      <c r="C11" s="152"/>
      <c r="D11" s="153">
        <v>3.5590000000000002</v>
      </c>
      <c r="E11" s="143">
        <f t="shared" si="0"/>
        <v>1761.7050000000002</v>
      </c>
      <c r="F11" s="154"/>
      <c r="H11" s="150">
        <v>9</v>
      </c>
      <c r="I11" s="155" t="s">
        <v>200</v>
      </c>
      <c r="J11" s="156"/>
      <c r="K11" s="157">
        <v>3.5830000000000002</v>
      </c>
      <c r="L11" s="158">
        <f t="shared" si="2"/>
        <v>1773.585</v>
      </c>
      <c r="M11" s="159"/>
    </row>
    <row r="12" spans="1:13" ht="30" x14ac:dyDescent="0.25">
      <c r="A12" s="150">
        <v>10</v>
      </c>
      <c r="B12" s="151" t="s">
        <v>201</v>
      </c>
      <c r="C12" s="152"/>
      <c r="D12" s="153">
        <v>2.5579999999999998</v>
      </c>
      <c r="E12" s="143">
        <f t="shared" si="0"/>
        <v>1266.2099999999998</v>
      </c>
      <c r="F12" s="154"/>
      <c r="H12" s="150">
        <v>10</v>
      </c>
      <c r="I12" s="155" t="s">
        <v>202</v>
      </c>
      <c r="J12" s="156"/>
      <c r="K12" s="157">
        <v>3.6160000000000001</v>
      </c>
      <c r="L12" s="158">
        <f t="shared" si="2"/>
        <v>1789.92</v>
      </c>
      <c r="M12" s="159"/>
    </row>
    <row r="13" spans="1:13" ht="30" x14ac:dyDescent="0.25">
      <c r="A13" s="150">
        <v>11</v>
      </c>
      <c r="B13" s="151" t="s">
        <v>203</v>
      </c>
      <c r="C13" s="152"/>
      <c r="D13" s="153">
        <v>2.5579999999999998</v>
      </c>
      <c r="E13" s="143">
        <f t="shared" si="0"/>
        <v>1266.2099999999998</v>
      </c>
      <c r="F13" s="154"/>
      <c r="H13" s="150">
        <v>11</v>
      </c>
      <c r="I13" s="155" t="s">
        <v>204</v>
      </c>
      <c r="J13" s="156"/>
      <c r="K13" s="157">
        <v>4.6719999999999997</v>
      </c>
      <c r="L13" s="158">
        <f t="shared" si="2"/>
        <v>2312.64</v>
      </c>
      <c r="M13" s="159"/>
    </row>
    <row r="14" spans="1:13" ht="30" x14ac:dyDescent="0.25">
      <c r="A14" s="150">
        <v>12</v>
      </c>
      <c r="B14" s="151" t="s">
        <v>205</v>
      </c>
      <c r="C14" s="162"/>
      <c r="D14" s="153">
        <v>2.226</v>
      </c>
      <c r="E14" s="143">
        <f t="shared" si="0"/>
        <v>1101.8699999999999</v>
      </c>
      <c r="F14" s="154"/>
      <c r="H14" s="150">
        <v>12</v>
      </c>
      <c r="I14" s="155" t="s">
        <v>206</v>
      </c>
      <c r="J14" s="156"/>
      <c r="K14" s="157">
        <v>4.3140000000000001</v>
      </c>
      <c r="L14" s="158">
        <f t="shared" si="2"/>
        <v>2135.4299999999998</v>
      </c>
      <c r="M14" s="159"/>
    </row>
    <row r="15" spans="1:13" ht="30.75" thickBot="1" x14ac:dyDescent="0.3">
      <c r="A15" s="150">
        <v>13</v>
      </c>
      <c r="B15" s="163" t="s">
        <v>207</v>
      </c>
      <c r="C15" s="164"/>
      <c r="D15" s="153">
        <v>3.988</v>
      </c>
      <c r="E15" s="143">
        <f t="shared" si="0"/>
        <v>1974.06</v>
      </c>
      <c r="F15" s="154"/>
      <c r="H15" s="165">
        <v>13</v>
      </c>
      <c r="I15" s="166" t="s">
        <v>208</v>
      </c>
      <c r="J15" s="167"/>
      <c r="K15" s="168">
        <v>4.91</v>
      </c>
      <c r="L15" s="169">
        <f t="shared" si="2"/>
        <v>2430.4500000000003</v>
      </c>
      <c r="M15" s="170"/>
    </row>
    <row r="16" spans="1:13" ht="18" x14ac:dyDescent="0.25">
      <c r="A16" s="150">
        <v>14</v>
      </c>
      <c r="B16" s="151" t="s">
        <v>209</v>
      </c>
      <c r="C16" s="152"/>
      <c r="D16" s="153">
        <v>2.226</v>
      </c>
      <c r="E16" s="143">
        <f t="shared" si="0"/>
        <v>1101.8699999999999</v>
      </c>
      <c r="F16" s="154"/>
      <c r="K16" s="172"/>
    </row>
    <row r="17" spans="1:13" ht="18" x14ac:dyDescent="0.25">
      <c r="A17" s="150">
        <v>15</v>
      </c>
      <c r="B17" s="151" t="s">
        <v>210</v>
      </c>
      <c r="C17" s="152"/>
      <c r="D17" s="153">
        <v>4.5979999999999999</v>
      </c>
      <c r="E17" s="143">
        <f t="shared" si="0"/>
        <v>2276.0099999999998</v>
      </c>
      <c r="F17" s="154"/>
      <c r="K17" s="172"/>
    </row>
    <row r="18" spans="1:13" ht="18" x14ac:dyDescent="0.25">
      <c r="A18" s="150">
        <v>16</v>
      </c>
      <c r="B18" s="151" t="s">
        <v>211</v>
      </c>
      <c r="C18" s="152"/>
      <c r="D18" s="153">
        <v>3.5590000000000002</v>
      </c>
      <c r="E18" s="143">
        <f t="shared" si="0"/>
        <v>1761.7050000000002</v>
      </c>
      <c r="F18" s="154"/>
      <c r="K18" s="172"/>
    </row>
    <row r="19" spans="1:13" ht="18" x14ac:dyDescent="0.25">
      <c r="A19" s="150">
        <v>17</v>
      </c>
      <c r="B19" s="155" t="s">
        <v>212</v>
      </c>
      <c r="C19" s="156"/>
      <c r="D19" s="153">
        <v>4.9470000000000001</v>
      </c>
      <c r="E19" s="143">
        <f t="shared" si="0"/>
        <v>2448.7649999999999</v>
      </c>
      <c r="F19" s="154"/>
      <c r="K19" s="172"/>
    </row>
    <row r="20" spans="1:13" ht="18" x14ac:dyDescent="0.25">
      <c r="A20" s="150">
        <v>18</v>
      </c>
      <c r="B20" s="155" t="s">
        <v>213</v>
      </c>
      <c r="C20" s="162"/>
      <c r="D20" s="153">
        <v>4.9470000000000001</v>
      </c>
      <c r="E20" s="143">
        <f t="shared" si="0"/>
        <v>2448.7649999999999</v>
      </c>
      <c r="F20" s="154"/>
      <c r="K20" s="172"/>
    </row>
    <row r="21" spans="1:13" ht="18" x14ac:dyDescent="0.25">
      <c r="A21" s="150">
        <v>19</v>
      </c>
      <c r="B21" s="155" t="s">
        <v>214</v>
      </c>
      <c r="C21" s="162"/>
      <c r="D21" s="174">
        <v>4.0750000000000002</v>
      </c>
      <c r="E21" s="143">
        <f t="shared" si="0"/>
        <v>2017.125</v>
      </c>
      <c r="F21" s="154"/>
      <c r="K21" s="172"/>
    </row>
    <row r="22" spans="1:13" ht="30" x14ac:dyDescent="0.25">
      <c r="A22" s="150">
        <v>20</v>
      </c>
      <c r="B22" s="155" t="s">
        <v>215</v>
      </c>
      <c r="C22" s="160" t="s">
        <v>216</v>
      </c>
      <c r="D22" s="153">
        <v>1.1379999999999999</v>
      </c>
      <c r="E22" s="143">
        <f t="shared" si="0"/>
        <v>563.30999999999995</v>
      </c>
      <c r="F22" s="154"/>
      <c r="K22" s="172"/>
    </row>
    <row r="23" spans="1:13" ht="30" x14ac:dyDescent="0.25">
      <c r="A23" s="150">
        <v>21</v>
      </c>
      <c r="B23" s="155" t="s">
        <v>217</v>
      </c>
      <c r="C23" s="160" t="s">
        <v>218</v>
      </c>
      <c r="D23" s="153">
        <v>0.76900000000000002</v>
      </c>
      <c r="E23" s="143">
        <f t="shared" si="0"/>
        <v>380.65500000000003</v>
      </c>
      <c r="F23" s="154"/>
      <c r="K23" s="172"/>
    </row>
    <row r="24" spans="1:13" ht="30" x14ac:dyDescent="0.25">
      <c r="A24" s="150">
        <v>22</v>
      </c>
      <c r="B24" s="155" t="s">
        <v>219</v>
      </c>
      <c r="C24" s="160" t="s">
        <v>220</v>
      </c>
      <c r="D24" s="153">
        <v>2.286</v>
      </c>
      <c r="E24" s="143">
        <f t="shared" si="0"/>
        <v>1131.57</v>
      </c>
      <c r="F24" s="154"/>
      <c r="K24" s="172"/>
    </row>
    <row r="25" spans="1:13" ht="18" x14ac:dyDescent="0.25">
      <c r="A25" s="150">
        <v>23</v>
      </c>
      <c r="B25" s="151" t="s">
        <v>221</v>
      </c>
      <c r="C25" s="160"/>
      <c r="D25" s="153">
        <v>4.8639999999999999</v>
      </c>
      <c r="E25" s="143">
        <f t="shared" si="0"/>
        <v>2407.6799999999998</v>
      </c>
      <c r="F25" s="154"/>
    </row>
    <row r="26" spans="1:13" ht="18.75" thickBot="1" x14ac:dyDescent="0.3">
      <c r="A26" s="150">
        <v>24</v>
      </c>
      <c r="B26" s="151" t="s">
        <v>222</v>
      </c>
      <c r="C26" s="160"/>
      <c r="D26" s="153">
        <v>4.2670000000000003</v>
      </c>
      <c r="E26" s="143">
        <f t="shared" si="0"/>
        <v>2112.165</v>
      </c>
      <c r="F26" s="154"/>
    </row>
    <row r="27" spans="1:13" ht="45" thickBot="1" x14ac:dyDescent="0.3">
      <c r="A27" s="150">
        <v>25</v>
      </c>
      <c r="B27" s="151" t="s">
        <v>223</v>
      </c>
      <c r="C27" s="160" t="s">
        <v>224</v>
      </c>
      <c r="D27" s="153">
        <v>0.85699999999999998</v>
      </c>
      <c r="E27" s="143">
        <f t="shared" si="0"/>
        <v>424.21499999999997</v>
      </c>
      <c r="F27" s="154"/>
      <c r="H27" s="134" t="s">
        <v>175</v>
      </c>
      <c r="I27" s="276" t="s">
        <v>176</v>
      </c>
      <c r="J27" s="277"/>
      <c r="K27" s="175" t="s">
        <v>225</v>
      </c>
      <c r="L27" s="136" t="s">
        <v>180</v>
      </c>
      <c r="M27" s="176"/>
    </row>
    <row r="28" spans="1:13" ht="18" x14ac:dyDescent="0.25">
      <c r="A28" s="150">
        <v>26</v>
      </c>
      <c r="B28" s="151" t="s">
        <v>226</v>
      </c>
      <c r="C28" s="160"/>
      <c r="D28" s="153">
        <v>0.97499999999999998</v>
      </c>
      <c r="E28" s="143">
        <f t="shared" si="0"/>
        <v>482.625</v>
      </c>
      <c r="F28" s="154"/>
      <c r="H28" s="177">
        <v>1</v>
      </c>
      <c r="I28" s="178" t="s">
        <v>269</v>
      </c>
      <c r="J28" s="179"/>
      <c r="K28" s="180">
        <v>2.19</v>
      </c>
      <c r="L28" s="181">
        <f t="shared" ref="L28:L34" si="3">$L$35*K28</f>
        <v>3723</v>
      </c>
      <c r="M28" s="182"/>
    </row>
    <row r="29" spans="1:13" ht="18" x14ac:dyDescent="0.25">
      <c r="A29" s="150">
        <v>27</v>
      </c>
      <c r="B29" s="151" t="s">
        <v>227</v>
      </c>
      <c r="C29" s="160" t="s">
        <v>228</v>
      </c>
      <c r="D29" s="153">
        <v>1.0129999999999999</v>
      </c>
      <c r="E29" s="143">
        <f t="shared" si="0"/>
        <v>501.43499999999995</v>
      </c>
      <c r="F29" s="154"/>
      <c r="H29" s="183">
        <v>2</v>
      </c>
      <c r="I29" s="184" t="s">
        <v>268</v>
      </c>
      <c r="J29" s="185"/>
      <c r="K29" s="186">
        <v>5.36</v>
      </c>
      <c r="L29" s="187">
        <f t="shared" si="3"/>
        <v>9112</v>
      </c>
      <c r="M29" s="182"/>
    </row>
    <row r="30" spans="1:13" ht="18" x14ac:dyDescent="0.25">
      <c r="A30" s="150">
        <v>28</v>
      </c>
      <c r="B30" s="151" t="s">
        <v>229</v>
      </c>
      <c r="C30" s="160" t="s">
        <v>230</v>
      </c>
      <c r="D30" s="153">
        <v>1.121</v>
      </c>
      <c r="E30" s="143">
        <f t="shared" si="0"/>
        <v>554.89499999999998</v>
      </c>
      <c r="F30" s="154"/>
      <c r="H30" s="183">
        <v>3</v>
      </c>
      <c r="I30" s="184" t="s">
        <v>270</v>
      </c>
      <c r="J30" s="185"/>
      <c r="K30" s="186">
        <v>8.57</v>
      </c>
      <c r="L30" s="187">
        <f t="shared" si="3"/>
        <v>14569</v>
      </c>
      <c r="M30" s="182"/>
    </row>
    <row r="31" spans="1:13" ht="18" x14ac:dyDescent="0.25">
      <c r="A31" s="150">
        <v>29</v>
      </c>
      <c r="B31" s="151" t="s">
        <v>231</v>
      </c>
      <c r="C31" s="160"/>
      <c r="D31" s="153">
        <v>1.1819999999999999</v>
      </c>
      <c r="E31" s="143">
        <f t="shared" si="0"/>
        <v>585.08999999999992</v>
      </c>
      <c r="F31" s="154"/>
      <c r="H31" s="183">
        <v>4</v>
      </c>
      <c r="I31" s="184" t="s">
        <v>271</v>
      </c>
      <c r="J31" s="185"/>
      <c r="K31" s="186">
        <v>10.72</v>
      </c>
      <c r="L31" s="187">
        <f t="shared" si="3"/>
        <v>18224</v>
      </c>
      <c r="M31" s="182"/>
    </row>
    <row r="32" spans="1:13" ht="18" x14ac:dyDescent="0.25">
      <c r="A32" s="150">
        <v>30</v>
      </c>
      <c r="B32" s="151" t="s">
        <v>232</v>
      </c>
      <c r="C32" s="160" t="s">
        <v>233</v>
      </c>
      <c r="D32" s="153">
        <v>1.3720000000000001</v>
      </c>
      <c r="E32" s="143">
        <f t="shared" si="0"/>
        <v>679.1400000000001</v>
      </c>
      <c r="F32" s="154"/>
      <c r="H32" s="183">
        <v>5</v>
      </c>
      <c r="I32" s="184" t="s">
        <v>272</v>
      </c>
      <c r="J32" s="185"/>
      <c r="K32" s="186">
        <v>8.1300000000000008</v>
      </c>
      <c r="L32" s="187">
        <f t="shared" si="3"/>
        <v>13821.000000000002</v>
      </c>
      <c r="M32" s="182"/>
    </row>
    <row r="33" spans="1:13" ht="18" x14ac:dyDescent="0.25">
      <c r="A33" s="150">
        <v>31</v>
      </c>
      <c r="B33" s="151" t="s">
        <v>234</v>
      </c>
      <c r="C33" s="160" t="s">
        <v>235</v>
      </c>
      <c r="D33" s="153">
        <v>1.67</v>
      </c>
      <c r="E33" s="143">
        <f t="shared" si="0"/>
        <v>826.65</v>
      </c>
      <c r="F33" s="154"/>
      <c r="H33" s="183">
        <v>6</v>
      </c>
      <c r="I33" s="184" t="s">
        <v>273</v>
      </c>
      <c r="J33" s="185"/>
      <c r="K33" s="186">
        <v>10</v>
      </c>
      <c r="L33" s="187">
        <f t="shared" si="3"/>
        <v>17000</v>
      </c>
      <c r="M33" s="182"/>
    </row>
    <row r="34" spans="1:13" ht="30.75" thickBot="1" x14ac:dyDescent="0.3">
      <c r="A34" s="150">
        <v>32</v>
      </c>
      <c r="B34" s="151" t="s">
        <v>236</v>
      </c>
      <c r="C34" s="160" t="s">
        <v>237</v>
      </c>
      <c r="D34" s="153">
        <v>1.9810000000000001</v>
      </c>
      <c r="E34" s="143">
        <f>D34*($L$48+F34)</f>
        <v>1138.7580400000002</v>
      </c>
      <c r="F34" s="154">
        <f>79.84</f>
        <v>79.84</v>
      </c>
      <c r="H34" s="188">
        <v>7</v>
      </c>
      <c r="I34" s="189" t="s">
        <v>274</v>
      </c>
      <c r="J34" s="190"/>
      <c r="K34" s="191">
        <v>12.5</v>
      </c>
      <c r="L34" s="192">
        <f t="shared" si="3"/>
        <v>21250</v>
      </c>
      <c r="M34" s="182"/>
    </row>
    <row r="35" spans="1:13" ht="24" customHeight="1" x14ac:dyDescent="0.25">
      <c r="A35" s="150">
        <v>33</v>
      </c>
      <c r="B35" s="151" t="s">
        <v>238</v>
      </c>
      <c r="C35" s="160" t="s">
        <v>239</v>
      </c>
      <c r="D35" s="153">
        <v>2.3879999999999999</v>
      </c>
      <c r="E35" s="143">
        <f>D35*($L$48+F35)</f>
        <v>1367.34492</v>
      </c>
      <c r="F35" s="154">
        <v>77.59</v>
      </c>
      <c r="H35" s="193"/>
      <c r="I35" s="194"/>
      <c r="J35" s="193"/>
      <c r="K35" s="193"/>
      <c r="L35" s="195">
        <v>1700</v>
      </c>
    </row>
    <row r="36" spans="1:13" ht="30.75" thickBot="1" x14ac:dyDescent="0.3">
      <c r="A36" s="150">
        <v>34</v>
      </c>
      <c r="B36" s="151" t="s">
        <v>240</v>
      </c>
      <c r="C36" s="160"/>
      <c r="D36" s="153">
        <v>2.2970000000000002</v>
      </c>
      <c r="E36" s="143">
        <f t="shared" ref="E36:E45" si="4">D36*($L$48+F36)</f>
        <v>1137.0150000000001</v>
      </c>
      <c r="F36" s="154"/>
    </row>
    <row r="37" spans="1:13" ht="45" thickBot="1" x14ac:dyDescent="0.3">
      <c r="A37" s="150">
        <v>35</v>
      </c>
      <c r="B37" s="151" t="s">
        <v>241</v>
      </c>
      <c r="C37" s="160"/>
      <c r="D37" s="153">
        <v>2.2069999999999999</v>
      </c>
      <c r="E37" s="143">
        <f t="shared" si="4"/>
        <v>1092.4649999999999</v>
      </c>
      <c r="F37" s="154"/>
      <c r="H37" s="134" t="s">
        <v>175</v>
      </c>
      <c r="I37" s="276" t="s">
        <v>176</v>
      </c>
      <c r="J37" s="277"/>
      <c r="K37" s="175" t="s">
        <v>225</v>
      </c>
      <c r="L37" s="136" t="s">
        <v>180</v>
      </c>
      <c r="M37" s="176"/>
    </row>
    <row r="38" spans="1:13" ht="18" x14ac:dyDescent="0.25">
      <c r="A38" s="150">
        <v>36</v>
      </c>
      <c r="B38" s="151" t="s">
        <v>242</v>
      </c>
      <c r="C38" s="160" t="s">
        <v>243</v>
      </c>
      <c r="D38" s="153">
        <v>1.1240000000000001</v>
      </c>
      <c r="E38" s="143">
        <f t="shared" si="4"/>
        <v>692.30532000000017</v>
      </c>
      <c r="F38" s="154">
        <v>120.93</v>
      </c>
      <c r="H38" s="177">
        <v>1</v>
      </c>
      <c r="I38" s="178" t="s">
        <v>244</v>
      </c>
      <c r="J38" s="179"/>
      <c r="K38" s="180">
        <v>0.66</v>
      </c>
      <c r="L38" s="181">
        <f t="shared" ref="L38:L44" si="5">$L$45*K38</f>
        <v>293.7</v>
      </c>
      <c r="M38" s="182"/>
    </row>
    <row r="39" spans="1:13" ht="18" x14ac:dyDescent="0.25">
      <c r="A39" s="150">
        <v>37</v>
      </c>
      <c r="B39" s="151" t="s">
        <v>245</v>
      </c>
      <c r="C39" s="160" t="s">
        <v>246</v>
      </c>
      <c r="D39" s="153">
        <v>1.3839999999999999</v>
      </c>
      <c r="E39" s="143">
        <f t="shared" si="4"/>
        <v>685.07999999999993</v>
      </c>
      <c r="F39" s="154"/>
      <c r="H39" s="183">
        <v>2</v>
      </c>
      <c r="I39" s="184" t="s">
        <v>247</v>
      </c>
      <c r="J39" s="185"/>
      <c r="K39" s="186">
        <v>2.11</v>
      </c>
      <c r="L39" s="187">
        <f t="shared" si="5"/>
        <v>938.94999999999993</v>
      </c>
      <c r="M39" s="182"/>
    </row>
    <row r="40" spans="1:13" ht="18" x14ac:dyDescent="0.25">
      <c r="A40" s="150">
        <v>38</v>
      </c>
      <c r="B40" s="196" t="s">
        <v>248</v>
      </c>
      <c r="C40" s="160"/>
      <c r="D40" s="153">
        <v>1.151</v>
      </c>
      <c r="E40" s="143">
        <f t="shared" si="4"/>
        <v>569.745</v>
      </c>
      <c r="F40" s="154"/>
      <c r="H40" s="183">
        <v>3</v>
      </c>
      <c r="I40" s="184" t="s">
        <v>249</v>
      </c>
      <c r="J40" s="185"/>
      <c r="K40" s="186">
        <v>2.6</v>
      </c>
      <c r="L40" s="187">
        <f t="shared" si="5"/>
        <v>1157</v>
      </c>
      <c r="M40" s="182"/>
    </row>
    <row r="41" spans="1:13" ht="18" x14ac:dyDescent="0.25">
      <c r="A41" s="150">
        <v>39</v>
      </c>
      <c r="B41" s="196" t="s">
        <v>250</v>
      </c>
      <c r="C41" s="160"/>
      <c r="D41" s="153">
        <v>1.827</v>
      </c>
      <c r="E41" s="143">
        <f t="shared" si="4"/>
        <v>904.36500000000001</v>
      </c>
      <c r="F41" s="154"/>
      <c r="H41" s="183">
        <v>4</v>
      </c>
      <c r="I41" s="184" t="s">
        <v>251</v>
      </c>
      <c r="J41" s="185"/>
      <c r="K41" s="186">
        <v>3.25</v>
      </c>
      <c r="L41" s="187">
        <f t="shared" si="5"/>
        <v>1446.25</v>
      </c>
      <c r="M41" s="182"/>
    </row>
    <row r="42" spans="1:13" ht="18" x14ac:dyDescent="0.25">
      <c r="A42" s="150">
        <v>40</v>
      </c>
      <c r="B42" s="196" t="s">
        <v>252</v>
      </c>
      <c r="C42" s="160"/>
      <c r="D42" s="153">
        <v>1.458</v>
      </c>
      <c r="E42" s="143">
        <f t="shared" si="4"/>
        <v>721.71</v>
      </c>
      <c r="F42" s="154"/>
      <c r="H42" s="183">
        <v>5</v>
      </c>
      <c r="I42" s="184" t="s">
        <v>253</v>
      </c>
      <c r="J42" s="185"/>
      <c r="K42" s="186">
        <v>2.4700000000000002</v>
      </c>
      <c r="L42" s="187">
        <f t="shared" si="5"/>
        <v>1099.1500000000001</v>
      </c>
      <c r="M42" s="182"/>
    </row>
    <row r="43" spans="1:13" ht="45" x14ac:dyDescent="0.25">
      <c r="A43" s="150">
        <v>41</v>
      </c>
      <c r="B43" s="196" t="s">
        <v>254</v>
      </c>
      <c r="C43" s="160"/>
      <c r="D43" s="153">
        <v>1.556</v>
      </c>
      <c r="E43" s="143">
        <f t="shared" si="4"/>
        <v>770.22</v>
      </c>
      <c r="F43" s="154"/>
      <c r="H43" s="183">
        <v>6</v>
      </c>
      <c r="I43" s="184" t="s">
        <v>255</v>
      </c>
      <c r="J43" s="185"/>
      <c r="K43" s="186">
        <v>3.04</v>
      </c>
      <c r="L43" s="187">
        <f t="shared" si="5"/>
        <v>1352.8</v>
      </c>
      <c r="M43" s="182"/>
    </row>
    <row r="44" spans="1:13" ht="18.75" thickBot="1" x14ac:dyDescent="0.3">
      <c r="A44" s="150">
        <v>42</v>
      </c>
      <c r="B44" s="196" t="s">
        <v>256</v>
      </c>
      <c r="C44" s="197" t="s">
        <v>257</v>
      </c>
      <c r="D44" s="198">
        <f>3.496</f>
        <v>3.496</v>
      </c>
      <c r="E44" s="143">
        <f t="shared" si="4"/>
        <v>1730.52</v>
      </c>
      <c r="F44" s="154"/>
      <c r="H44" s="188">
        <v>7</v>
      </c>
      <c r="I44" s="189" t="s">
        <v>258</v>
      </c>
      <c r="J44" s="190"/>
      <c r="K44" s="191">
        <v>3.79</v>
      </c>
      <c r="L44" s="192">
        <f t="shared" si="5"/>
        <v>1686.55</v>
      </c>
      <c r="M44" s="182"/>
    </row>
    <row r="45" spans="1:13" ht="30.75" thickBot="1" x14ac:dyDescent="0.3">
      <c r="A45" s="199">
        <v>43</v>
      </c>
      <c r="B45" s="200" t="s">
        <v>259</v>
      </c>
      <c r="C45" s="201" t="s">
        <v>257</v>
      </c>
      <c r="D45" s="202">
        <f>3.406</f>
        <v>3.4060000000000001</v>
      </c>
      <c r="E45" s="143">
        <f t="shared" si="4"/>
        <v>1685.97</v>
      </c>
      <c r="F45" s="203"/>
      <c r="H45" s="204"/>
      <c r="I45" s="205"/>
      <c r="J45" s="204"/>
      <c r="K45" s="206" t="s">
        <v>260</v>
      </c>
      <c r="L45" s="207">
        <v>445</v>
      </c>
    </row>
    <row r="46" spans="1:13" ht="18.75" thickBot="1" x14ac:dyDescent="0.3">
      <c r="A46" s="208"/>
      <c r="B46" s="209"/>
      <c r="C46" s="210"/>
      <c r="D46" s="211"/>
      <c r="E46" s="212"/>
      <c r="F46" s="213"/>
      <c r="L46" s="214"/>
    </row>
    <row r="47" spans="1:13" ht="18.75" thickBot="1" x14ac:dyDescent="0.3">
      <c r="A47" s="215">
        <v>44</v>
      </c>
      <c r="B47" s="216" t="s">
        <v>261</v>
      </c>
      <c r="C47" s="217"/>
      <c r="D47" s="218"/>
      <c r="E47" s="219"/>
      <c r="F47" s="213"/>
      <c r="I47" s="171" t="s">
        <v>262</v>
      </c>
      <c r="L47" s="214"/>
    </row>
    <row r="48" spans="1:13" ht="30.75" thickBot="1" x14ac:dyDescent="0.3">
      <c r="A48" s="215">
        <v>44</v>
      </c>
      <c r="B48" s="216" t="s">
        <v>263</v>
      </c>
      <c r="C48" s="220" t="s">
        <v>264</v>
      </c>
      <c r="D48" s="218">
        <v>0.745</v>
      </c>
      <c r="E48" s="213">
        <f>D48*($L$48+F48)</f>
        <v>368.77499999999998</v>
      </c>
      <c r="F48" s="219"/>
      <c r="H48" s="221"/>
      <c r="I48" s="222"/>
      <c r="J48" s="221"/>
      <c r="K48" s="223" t="s">
        <v>265</v>
      </c>
      <c r="L48" s="224">
        <f>L45+50</f>
        <v>495</v>
      </c>
    </row>
  </sheetData>
  <mergeCells count="6">
    <mergeCell ref="I37:J37"/>
    <mergeCell ref="A1:E1"/>
    <mergeCell ref="H1:L1"/>
    <mergeCell ref="B2:C2"/>
    <mergeCell ref="I2:J2"/>
    <mergeCell ref="I27:J27"/>
  </mergeCells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3:T101"/>
  <sheetViews>
    <sheetView topLeftCell="A85" zoomScale="70" zoomScaleNormal="70" workbookViewId="0">
      <selection activeCell="F91" sqref="F91"/>
    </sheetView>
  </sheetViews>
  <sheetFormatPr defaultRowHeight="42.75" customHeight="1" x14ac:dyDescent="0.25"/>
  <cols>
    <col min="2" max="2" width="33.5703125" customWidth="1"/>
    <col min="3" max="3" width="35.7109375" style="29" customWidth="1"/>
    <col min="4" max="4" width="35.140625" style="103" customWidth="1"/>
    <col min="5" max="5" width="25.42578125" customWidth="1"/>
    <col min="6" max="6" width="28" customWidth="1"/>
    <col min="7" max="7" width="22.28515625" customWidth="1"/>
  </cols>
  <sheetData>
    <row r="3" spans="2:14" ht="42.75" customHeight="1" thickBot="1" x14ac:dyDescent="0.55000000000000004">
      <c r="C3" s="24" t="s">
        <v>0</v>
      </c>
      <c r="D3" s="102"/>
      <c r="E3" s="1"/>
      <c r="F3" s="1"/>
      <c r="G3" s="1"/>
      <c r="H3" s="1"/>
      <c r="I3" s="1"/>
      <c r="J3" s="1"/>
      <c r="K3" s="1"/>
      <c r="L3" s="1"/>
      <c r="M3" s="1"/>
      <c r="N3" s="1"/>
    </row>
    <row r="4" spans="2:14" ht="42.75" customHeight="1" thickBot="1" x14ac:dyDescent="0.3">
      <c r="B4" s="31" t="s">
        <v>1</v>
      </c>
      <c r="C4" s="32"/>
      <c r="D4" s="35">
        <v>45156</v>
      </c>
      <c r="E4" s="32"/>
      <c r="F4" s="32"/>
      <c r="G4" s="32"/>
      <c r="H4" s="32"/>
      <c r="I4" s="32"/>
      <c r="J4" s="32"/>
      <c r="K4" s="32"/>
      <c r="L4" s="32"/>
      <c r="M4" s="32"/>
      <c r="N4" s="33"/>
    </row>
    <row r="5" spans="2:14" ht="42.75" customHeight="1" x14ac:dyDescent="0.25">
      <c r="B5" s="2"/>
      <c r="C5" s="25" t="s">
        <v>2</v>
      </c>
      <c r="D5" s="3" t="s">
        <v>17</v>
      </c>
      <c r="E5" s="3" t="s">
        <v>18</v>
      </c>
      <c r="F5" s="4" t="s">
        <v>3</v>
      </c>
      <c r="G5" s="4" t="s">
        <v>4</v>
      </c>
      <c r="H5" s="5" t="s">
        <v>5</v>
      </c>
      <c r="I5" s="6" t="s">
        <v>6</v>
      </c>
      <c r="J5" s="6" t="s">
        <v>7</v>
      </c>
      <c r="K5" s="6" t="s">
        <v>8</v>
      </c>
      <c r="L5" s="6" t="s">
        <v>9</v>
      </c>
      <c r="M5" s="6" t="s">
        <v>10</v>
      </c>
      <c r="N5" s="7" t="s">
        <v>11</v>
      </c>
    </row>
    <row r="6" spans="2:14" ht="42.75" customHeight="1" x14ac:dyDescent="0.25">
      <c r="B6" s="8">
        <v>1</v>
      </c>
      <c r="C6" s="26" t="s">
        <v>12</v>
      </c>
      <c r="D6" s="36">
        <v>1025</v>
      </c>
      <c r="E6" s="9"/>
      <c r="F6" s="9" t="s">
        <v>13</v>
      </c>
      <c r="G6" s="9" t="s">
        <v>13</v>
      </c>
      <c r="H6" s="10"/>
      <c r="I6" s="9" t="s">
        <v>13</v>
      </c>
      <c r="J6" s="9" t="s">
        <v>13</v>
      </c>
      <c r="K6" s="9" t="s">
        <v>13</v>
      </c>
      <c r="L6" s="9" t="s">
        <v>13</v>
      </c>
      <c r="M6" s="11"/>
      <c r="N6" s="10"/>
    </row>
    <row r="7" spans="2:14" ht="42.75" customHeight="1" x14ac:dyDescent="0.25">
      <c r="B7" s="8"/>
      <c r="C7" s="34" t="s">
        <v>16</v>
      </c>
      <c r="D7" s="36">
        <v>1025</v>
      </c>
      <c r="E7" s="9"/>
      <c r="F7" s="9"/>
      <c r="G7" s="9"/>
      <c r="H7" s="10"/>
      <c r="I7" s="30"/>
      <c r="J7" s="9"/>
      <c r="K7" s="9"/>
      <c r="L7" s="9"/>
      <c r="M7" s="11"/>
      <c r="N7" s="10"/>
    </row>
    <row r="8" spans="2:14" ht="42.75" customHeight="1" x14ac:dyDescent="0.25">
      <c r="B8" s="8">
        <v>2</v>
      </c>
      <c r="C8" s="27" t="s">
        <v>15</v>
      </c>
      <c r="D8" s="36">
        <v>1025</v>
      </c>
      <c r="E8" s="12"/>
      <c r="F8" s="13" t="s">
        <v>13</v>
      </c>
      <c r="G8" s="13" t="s">
        <v>13</v>
      </c>
      <c r="H8" s="14"/>
      <c r="I8" s="15" t="s">
        <v>13</v>
      </c>
      <c r="J8" s="16" t="s">
        <v>13</v>
      </c>
      <c r="K8" s="16" t="s">
        <v>13</v>
      </c>
      <c r="L8" s="16" t="s">
        <v>13</v>
      </c>
      <c r="M8" s="16" t="s">
        <v>13</v>
      </c>
      <c r="N8" s="17"/>
    </row>
    <row r="9" spans="2:14" ht="42.75" customHeight="1" thickBot="1" x14ac:dyDescent="0.3">
      <c r="B9" s="18">
        <v>3</v>
      </c>
      <c r="C9" s="28" t="s">
        <v>14</v>
      </c>
      <c r="D9" s="36">
        <v>1040</v>
      </c>
      <c r="E9" s="19"/>
      <c r="F9" s="19" t="s">
        <v>13</v>
      </c>
      <c r="G9" s="19" t="s">
        <v>13</v>
      </c>
      <c r="H9" s="20" t="s">
        <v>13</v>
      </c>
      <c r="I9" s="21" t="s">
        <v>13</v>
      </c>
      <c r="J9" s="22" t="s">
        <v>13</v>
      </c>
      <c r="K9" s="22" t="s">
        <v>13</v>
      </c>
      <c r="L9" s="22" t="s">
        <v>13</v>
      </c>
      <c r="M9" s="22" t="s">
        <v>13</v>
      </c>
      <c r="N9" s="23" t="s">
        <v>13</v>
      </c>
    </row>
    <row r="11" spans="2:14" ht="12" customHeight="1" thickBot="1" x14ac:dyDescent="0.3"/>
    <row r="12" spans="2:14" ht="42.75" customHeight="1" thickBot="1" x14ac:dyDescent="0.3">
      <c r="B12" s="280" t="s">
        <v>24</v>
      </c>
      <c r="C12" s="281"/>
      <c r="D12" s="37">
        <v>45238</v>
      </c>
    </row>
    <row r="13" spans="2:14" ht="38.25" customHeight="1" thickBot="1" x14ac:dyDescent="0.3">
      <c r="B13" s="98" t="s">
        <v>21</v>
      </c>
      <c r="C13" s="99" t="s">
        <v>22</v>
      </c>
      <c r="D13" s="100" t="s">
        <v>23</v>
      </c>
    </row>
    <row r="14" spans="2:14" ht="42.75" customHeight="1" x14ac:dyDescent="0.25">
      <c r="B14" s="85" t="s">
        <v>19</v>
      </c>
      <c r="C14" s="86" t="s">
        <v>16</v>
      </c>
      <c r="D14" s="87">
        <v>1045</v>
      </c>
    </row>
    <row r="15" spans="2:14" ht="42.75" customHeight="1" x14ac:dyDescent="0.25">
      <c r="B15" s="88" t="s">
        <v>51</v>
      </c>
      <c r="C15" s="80" t="s">
        <v>26</v>
      </c>
      <c r="D15" s="89">
        <v>1164</v>
      </c>
    </row>
    <row r="16" spans="2:14" ht="42.75" customHeight="1" x14ac:dyDescent="0.25">
      <c r="B16" s="90" t="s">
        <v>46</v>
      </c>
      <c r="C16" s="81" t="s">
        <v>48</v>
      </c>
      <c r="D16" s="89">
        <v>360</v>
      </c>
    </row>
    <row r="17" spans="2:4" ht="42.75" customHeight="1" x14ac:dyDescent="0.25">
      <c r="B17" s="90" t="s">
        <v>47</v>
      </c>
      <c r="C17" s="81" t="s">
        <v>50</v>
      </c>
      <c r="D17" s="89" t="s">
        <v>57</v>
      </c>
    </row>
    <row r="18" spans="2:4" ht="59.25" customHeight="1" x14ac:dyDescent="0.25">
      <c r="B18" s="91" t="s">
        <v>44</v>
      </c>
      <c r="C18" s="82" t="s">
        <v>45</v>
      </c>
      <c r="D18" s="92">
        <v>124</v>
      </c>
    </row>
    <row r="19" spans="2:4" ht="84.75" customHeight="1" x14ac:dyDescent="0.25">
      <c r="B19" s="91" t="s">
        <v>53</v>
      </c>
      <c r="C19" s="82" t="s">
        <v>45</v>
      </c>
      <c r="D19" s="92">
        <v>118</v>
      </c>
    </row>
    <row r="20" spans="2:4" ht="59.25" customHeight="1" x14ac:dyDescent="0.25">
      <c r="B20" s="93" t="s">
        <v>43</v>
      </c>
      <c r="C20" s="83" t="s">
        <v>25</v>
      </c>
      <c r="D20" s="92">
        <v>85</v>
      </c>
    </row>
    <row r="21" spans="2:4" ht="90" customHeight="1" x14ac:dyDescent="0.25">
      <c r="B21" s="93" t="s">
        <v>54</v>
      </c>
      <c r="C21" s="83" t="s">
        <v>25</v>
      </c>
      <c r="D21" s="92">
        <v>83</v>
      </c>
    </row>
    <row r="22" spans="2:4" ht="52.5" customHeight="1" x14ac:dyDescent="0.25">
      <c r="B22" s="94" t="s">
        <v>27</v>
      </c>
      <c r="C22" s="84" t="s">
        <v>26</v>
      </c>
      <c r="D22" s="92">
        <v>458</v>
      </c>
    </row>
    <row r="23" spans="2:4" ht="51.75" customHeight="1" x14ac:dyDescent="0.25">
      <c r="B23" s="94" t="s">
        <v>28</v>
      </c>
      <c r="C23" s="84" t="s">
        <v>26</v>
      </c>
      <c r="D23" s="92">
        <v>408</v>
      </c>
    </row>
    <row r="24" spans="2:4" ht="93.75" customHeight="1" thickBot="1" x14ac:dyDescent="0.3">
      <c r="B24" s="95" t="s">
        <v>55</v>
      </c>
      <c r="C24" s="96" t="s">
        <v>26</v>
      </c>
      <c r="D24" s="97">
        <v>443</v>
      </c>
    </row>
    <row r="25" spans="2:4" ht="21" customHeight="1" thickBot="1" x14ac:dyDescent="0.3"/>
    <row r="26" spans="2:4" ht="42.75" customHeight="1" thickBot="1" x14ac:dyDescent="0.3">
      <c r="B26" s="280" t="s">
        <v>24</v>
      </c>
      <c r="C26" s="281"/>
      <c r="D26" s="37">
        <v>45397</v>
      </c>
    </row>
    <row r="27" spans="2:4" ht="42.75" customHeight="1" thickBot="1" x14ac:dyDescent="0.3">
      <c r="B27" s="98" t="s">
        <v>21</v>
      </c>
      <c r="C27" s="99" t="s">
        <v>22</v>
      </c>
      <c r="D27" s="100" t="s">
        <v>23</v>
      </c>
    </row>
    <row r="28" spans="2:4" ht="42.75" customHeight="1" x14ac:dyDescent="0.25">
      <c r="B28" s="85" t="s">
        <v>19</v>
      </c>
      <c r="C28" s="86" t="s">
        <v>16</v>
      </c>
      <c r="D28" s="87">
        <v>990</v>
      </c>
    </row>
    <row r="29" spans="2:4" ht="42.75" customHeight="1" x14ac:dyDescent="0.25">
      <c r="B29" s="88" t="s">
        <v>51</v>
      </c>
      <c r="C29" s="80" t="s">
        <v>26</v>
      </c>
      <c r="D29" s="89">
        <v>1220</v>
      </c>
    </row>
    <row r="30" spans="2:4" ht="42.75" customHeight="1" x14ac:dyDescent="0.25">
      <c r="B30" s="90" t="s">
        <v>46</v>
      </c>
      <c r="C30" s="81" t="s">
        <v>48</v>
      </c>
      <c r="D30" s="89">
        <v>368</v>
      </c>
    </row>
    <row r="31" spans="2:4" ht="42.75" customHeight="1" x14ac:dyDescent="0.25">
      <c r="B31" s="90" t="s">
        <v>47</v>
      </c>
      <c r="C31" s="81" t="s">
        <v>50</v>
      </c>
      <c r="D31" s="89" t="s">
        <v>57</v>
      </c>
    </row>
    <row r="32" spans="2:4" ht="42.75" customHeight="1" x14ac:dyDescent="0.25">
      <c r="B32" s="91" t="s">
        <v>44</v>
      </c>
      <c r="C32" s="82" t="s">
        <v>45</v>
      </c>
      <c r="D32" s="92">
        <v>124</v>
      </c>
    </row>
    <row r="33" spans="2:4" ht="42.75" customHeight="1" x14ac:dyDescent="0.25">
      <c r="B33" s="91" t="s">
        <v>53</v>
      </c>
      <c r="C33" s="82" t="s">
        <v>45</v>
      </c>
      <c r="D33" s="92">
        <v>118</v>
      </c>
    </row>
    <row r="34" spans="2:4" ht="42.75" customHeight="1" x14ac:dyDescent="0.25">
      <c r="B34" s="93" t="s">
        <v>43</v>
      </c>
      <c r="C34" s="83" t="s">
        <v>25</v>
      </c>
      <c r="D34" s="92">
        <v>85</v>
      </c>
    </row>
    <row r="35" spans="2:4" ht="42.75" customHeight="1" x14ac:dyDescent="0.25">
      <c r="B35" s="93" t="s">
        <v>54</v>
      </c>
      <c r="C35" s="83" t="s">
        <v>25</v>
      </c>
      <c r="D35" s="92">
        <v>83</v>
      </c>
    </row>
    <row r="36" spans="2:4" ht="42.75" customHeight="1" x14ac:dyDescent="0.25">
      <c r="B36" s="94" t="s">
        <v>27</v>
      </c>
      <c r="C36" s="84" t="s">
        <v>26</v>
      </c>
      <c r="D36" s="92">
        <v>442</v>
      </c>
    </row>
    <row r="37" spans="2:4" ht="42.75" customHeight="1" x14ac:dyDescent="0.25">
      <c r="B37" s="94" t="s">
        <v>28</v>
      </c>
      <c r="C37" s="84" t="s">
        <v>26</v>
      </c>
      <c r="D37" s="92">
        <v>416</v>
      </c>
    </row>
    <row r="38" spans="2:4" ht="42.75" customHeight="1" thickBot="1" x14ac:dyDescent="0.3">
      <c r="B38" s="95" t="s">
        <v>55</v>
      </c>
      <c r="C38" s="96" t="s">
        <v>26</v>
      </c>
      <c r="D38" s="97">
        <v>443</v>
      </c>
    </row>
    <row r="40" spans="2:4" ht="42.75" customHeight="1" thickBot="1" x14ac:dyDescent="0.3"/>
    <row r="41" spans="2:4" ht="42.75" customHeight="1" thickBot="1" x14ac:dyDescent="0.3">
      <c r="B41" s="280" t="s">
        <v>24</v>
      </c>
      <c r="C41" s="281"/>
      <c r="D41" s="37">
        <v>45401</v>
      </c>
    </row>
    <row r="42" spans="2:4" ht="42.75" customHeight="1" thickBot="1" x14ac:dyDescent="0.3">
      <c r="B42" s="98" t="s">
        <v>21</v>
      </c>
      <c r="C42" s="99" t="s">
        <v>22</v>
      </c>
      <c r="D42" s="100" t="s">
        <v>23</v>
      </c>
    </row>
    <row r="43" spans="2:4" ht="42.75" customHeight="1" x14ac:dyDescent="0.25">
      <c r="B43" s="85" t="s">
        <v>19</v>
      </c>
      <c r="C43" s="86" t="s">
        <v>16</v>
      </c>
      <c r="D43" s="87">
        <v>990</v>
      </c>
    </row>
    <row r="44" spans="2:4" ht="42.75" customHeight="1" x14ac:dyDescent="0.25">
      <c r="B44" s="88" t="s">
        <v>51</v>
      </c>
      <c r="C44" s="80" t="s">
        <v>26</v>
      </c>
      <c r="D44" s="89">
        <v>1255</v>
      </c>
    </row>
    <row r="45" spans="2:4" ht="42.75" customHeight="1" x14ac:dyDescent="0.25">
      <c r="B45" s="90" t="s">
        <v>46</v>
      </c>
      <c r="C45" s="81" t="s">
        <v>48</v>
      </c>
      <c r="D45" s="89">
        <v>368</v>
      </c>
    </row>
    <row r="46" spans="2:4" ht="42.75" customHeight="1" x14ac:dyDescent="0.25">
      <c r="B46" s="90" t="s">
        <v>47</v>
      </c>
      <c r="C46" s="81" t="s">
        <v>50</v>
      </c>
      <c r="D46" s="89" t="s">
        <v>57</v>
      </c>
    </row>
    <row r="47" spans="2:4" ht="42.75" customHeight="1" x14ac:dyDescent="0.25">
      <c r="B47" s="91" t="s">
        <v>44</v>
      </c>
      <c r="C47" s="82" t="s">
        <v>45</v>
      </c>
      <c r="D47" s="92">
        <v>124</v>
      </c>
    </row>
    <row r="48" spans="2:4" ht="42.75" customHeight="1" x14ac:dyDescent="0.25">
      <c r="B48" s="91" t="s">
        <v>53</v>
      </c>
      <c r="C48" s="82" t="s">
        <v>45</v>
      </c>
      <c r="D48" s="92">
        <v>118</v>
      </c>
    </row>
    <row r="49" spans="2:4" ht="42.75" customHeight="1" x14ac:dyDescent="0.25">
      <c r="B49" s="93" t="s">
        <v>43</v>
      </c>
      <c r="C49" s="83" t="s">
        <v>25</v>
      </c>
      <c r="D49" s="92">
        <v>85</v>
      </c>
    </row>
    <row r="50" spans="2:4" ht="42.75" customHeight="1" x14ac:dyDescent="0.25">
      <c r="B50" s="93" t="s">
        <v>54</v>
      </c>
      <c r="C50" s="83" t="s">
        <v>25</v>
      </c>
      <c r="D50" s="92">
        <v>83</v>
      </c>
    </row>
    <row r="51" spans="2:4" ht="42.75" customHeight="1" x14ac:dyDescent="0.25">
      <c r="B51" s="94" t="s">
        <v>27</v>
      </c>
      <c r="C51" s="84" t="s">
        <v>26</v>
      </c>
      <c r="D51" s="92">
        <v>442</v>
      </c>
    </row>
    <row r="52" spans="2:4" ht="42.75" customHeight="1" x14ac:dyDescent="0.25">
      <c r="B52" s="94" t="s">
        <v>28</v>
      </c>
      <c r="C52" s="84" t="s">
        <v>26</v>
      </c>
      <c r="D52" s="92">
        <v>416</v>
      </c>
    </row>
    <row r="53" spans="2:4" ht="42.75" customHeight="1" thickBot="1" x14ac:dyDescent="0.3">
      <c r="B53" s="95" t="s">
        <v>55</v>
      </c>
      <c r="C53" s="96" t="s">
        <v>26</v>
      </c>
      <c r="D53" s="97">
        <v>443</v>
      </c>
    </row>
    <row r="55" spans="2:4" ht="42.75" customHeight="1" thickBot="1" x14ac:dyDescent="0.3"/>
    <row r="56" spans="2:4" ht="42.75" customHeight="1" thickBot="1" x14ac:dyDescent="0.3">
      <c r="B56" s="280" t="s">
        <v>24</v>
      </c>
      <c r="C56" s="281"/>
      <c r="D56" s="37">
        <v>45499</v>
      </c>
    </row>
    <row r="57" spans="2:4" ht="42.75" customHeight="1" thickBot="1" x14ac:dyDescent="0.3">
      <c r="B57" s="98" t="s">
        <v>21</v>
      </c>
      <c r="C57" s="99" t="s">
        <v>22</v>
      </c>
      <c r="D57" s="100" t="s">
        <v>23</v>
      </c>
    </row>
    <row r="58" spans="2:4" ht="42.75" customHeight="1" x14ac:dyDescent="0.25">
      <c r="B58" s="85" t="s">
        <v>19</v>
      </c>
      <c r="C58" s="86" t="s">
        <v>16</v>
      </c>
      <c r="D58" s="87">
        <v>1040</v>
      </c>
    </row>
    <row r="59" spans="2:4" ht="42.75" customHeight="1" x14ac:dyDescent="0.25">
      <c r="B59" s="88" t="s">
        <v>51</v>
      </c>
      <c r="C59" s="80" t="s">
        <v>26</v>
      </c>
      <c r="D59" s="89">
        <v>1178</v>
      </c>
    </row>
    <row r="60" spans="2:4" ht="42.75" customHeight="1" x14ac:dyDescent="0.25">
      <c r="B60" s="90" t="s">
        <v>46</v>
      </c>
      <c r="C60" s="81" t="s">
        <v>48</v>
      </c>
      <c r="D60" s="89">
        <v>360</v>
      </c>
    </row>
    <row r="61" spans="2:4" ht="42.75" customHeight="1" x14ac:dyDescent="0.25">
      <c r="B61" s="90" t="s">
        <v>47</v>
      </c>
      <c r="C61" s="81" t="s">
        <v>50</v>
      </c>
      <c r="D61" s="89" t="s">
        <v>57</v>
      </c>
    </row>
    <row r="62" spans="2:4" ht="42.75" customHeight="1" x14ac:dyDescent="0.25">
      <c r="B62" s="91" t="s">
        <v>44</v>
      </c>
      <c r="C62" s="82" t="s">
        <v>45</v>
      </c>
      <c r="D62" s="92">
        <v>114</v>
      </c>
    </row>
    <row r="63" spans="2:4" ht="42.75" customHeight="1" x14ac:dyDescent="0.25">
      <c r="B63" s="91" t="s">
        <v>53</v>
      </c>
      <c r="C63" s="82" t="s">
        <v>45</v>
      </c>
      <c r="D63" s="92">
        <v>112</v>
      </c>
    </row>
    <row r="64" spans="2:4" ht="42.75" customHeight="1" x14ac:dyDescent="0.25">
      <c r="B64" s="93" t="s">
        <v>43</v>
      </c>
      <c r="C64" s="83" t="s">
        <v>25</v>
      </c>
      <c r="D64" s="92">
        <v>93</v>
      </c>
    </row>
    <row r="65" spans="2:20" ht="42.75" customHeight="1" x14ac:dyDescent="0.25">
      <c r="B65" s="93" t="s">
        <v>54</v>
      </c>
      <c r="C65" s="83" t="s">
        <v>25</v>
      </c>
      <c r="D65" s="92">
        <v>91.6</v>
      </c>
    </row>
    <row r="66" spans="2:20" ht="42.75" customHeight="1" x14ac:dyDescent="0.25">
      <c r="B66" s="94" t="s">
        <v>27</v>
      </c>
      <c r="C66" s="84" t="s">
        <v>26</v>
      </c>
      <c r="D66" s="92">
        <v>555</v>
      </c>
    </row>
    <row r="67" spans="2:20" ht="42.75" customHeight="1" x14ac:dyDescent="0.25">
      <c r="B67" s="94" t="s">
        <v>28</v>
      </c>
      <c r="C67" s="84" t="s">
        <v>26</v>
      </c>
      <c r="D67" s="92">
        <v>531</v>
      </c>
      <c r="T67" t="s">
        <v>59</v>
      </c>
    </row>
    <row r="68" spans="2:20" ht="42.75" customHeight="1" thickBot="1" x14ac:dyDescent="0.3">
      <c r="B68" s="95" t="s">
        <v>55</v>
      </c>
      <c r="C68" s="96" t="s">
        <v>26</v>
      </c>
      <c r="D68" s="97">
        <v>480</v>
      </c>
    </row>
    <row r="70" spans="2:20" ht="42.75" customHeight="1" x14ac:dyDescent="0.25">
      <c r="F70" s="101" t="s">
        <v>58</v>
      </c>
    </row>
    <row r="71" spans="2:20" ht="42.75" customHeight="1" thickBot="1" x14ac:dyDescent="0.3"/>
    <row r="72" spans="2:20" ht="42.75" customHeight="1" thickBot="1" x14ac:dyDescent="0.3">
      <c r="B72" s="280" t="s">
        <v>24</v>
      </c>
      <c r="C72" s="281"/>
      <c r="D72" s="37">
        <v>45576</v>
      </c>
    </row>
    <row r="73" spans="2:20" ht="42.75" customHeight="1" thickBot="1" x14ac:dyDescent="0.3">
      <c r="B73" s="98" t="s">
        <v>21</v>
      </c>
      <c r="C73" s="99" t="s">
        <v>22</v>
      </c>
      <c r="D73" s="100" t="s">
        <v>23</v>
      </c>
    </row>
    <row r="74" spans="2:20" ht="42.75" customHeight="1" x14ac:dyDescent="0.25">
      <c r="B74" s="85" t="s">
        <v>19</v>
      </c>
      <c r="C74" s="86" t="s">
        <v>16</v>
      </c>
      <c r="D74" s="87">
        <v>1175</v>
      </c>
    </row>
    <row r="75" spans="2:20" ht="42.75" customHeight="1" x14ac:dyDescent="0.25">
      <c r="B75" s="88" t="s">
        <v>51</v>
      </c>
      <c r="C75" s="80" t="s">
        <v>26</v>
      </c>
      <c r="D75" s="89">
        <v>1246</v>
      </c>
    </row>
    <row r="76" spans="2:20" ht="42.75" customHeight="1" x14ac:dyDescent="0.25">
      <c r="B76" s="90" t="s">
        <v>46</v>
      </c>
      <c r="C76" s="81" t="s">
        <v>48</v>
      </c>
      <c r="D76" s="89">
        <v>377</v>
      </c>
    </row>
    <row r="77" spans="2:20" ht="42.75" customHeight="1" x14ac:dyDescent="0.25">
      <c r="B77" s="90" t="s">
        <v>47</v>
      </c>
      <c r="C77" s="81" t="s">
        <v>50</v>
      </c>
      <c r="D77" s="89" t="s">
        <v>60</v>
      </c>
    </row>
    <row r="78" spans="2:20" ht="42.75" customHeight="1" x14ac:dyDescent="0.25">
      <c r="B78" s="91" t="s">
        <v>44</v>
      </c>
      <c r="C78" s="82" t="s">
        <v>45</v>
      </c>
      <c r="D78" s="92">
        <v>109.5</v>
      </c>
    </row>
    <row r="79" spans="2:20" ht="42.75" customHeight="1" x14ac:dyDescent="0.25">
      <c r="B79" s="91" t="s">
        <v>53</v>
      </c>
      <c r="C79" s="82" t="s">
        <v>45</v>
      </c>
      <c r="D79" s="92">
        <v>112</v>
      </c>
    </row>
    <row r="80" spans="2:20" ht="42.75" customHeight="1" x14ac:dyDescent="0.25">
      <c r="B80" s="93" t="s">
        <v>43</v>
      </c>
      <c r="C80" s="83" t="s">
        <v>25</v>
      </c>
      <c r="D80" s="92">
        <v>93</v>
      </c>
    </row>
    <row r="81" spans="2:6" ht="42.75" customHeight="1" x14ac:dyDescent="0.25">
      <c r="B81" s="93" t="s">
        <v>54</v>
      </c>
      <c r="C81" s="83" t="s">
        <v>25</v>
      </c>
      <c r="D81" s="92">
        <v>91.6</v>
      </c>
    </row>
    <row r="82" spans="2:6" ht="42.75" customHeight="1" x14ac:dyDescent="0.25">
      <c r="B82" s="94" t="s">
        <v>27</v>
      </c>
      <c r="C82" s="84" t="s">
        <v>26</v>
      </c>
      <c r="D82" s="92">
        <v>530</v>
      </c>
    </row>
    <row r="83" spans="2:6" ht="42.75" customHeight="1" x14ac:dyDescent="0.25">
      <c r="B83" s="94" t="s">
        <v>28</v>
      </c>
      <c r="C83" s="84" t="s">
        <v>26</v>
      </c>
      <c r="D83" s="92">
        <v>498</v>
      </c>
    </row>
    <row r="84" spans="2:6" ht="42.75" customHeight="1" thickBot="1" x14ac:dyDescent="0.3">
      <c r="B84" s="95" t="s">
        <v>55</v>
      </c>
      <c r="C84" s="96" t="s">
        <v>26</v>
      </c>
      <c r="D84" s="97">
        <v>480</v>
      </c>
    </row>
    <row r="86" spans="2:6" ht="42.75" customHeight="1" thickBot="1" x14ac:dyDescent="0.3">
      <c r="F86" s="101" t="s">
        <v>58</v>
      </c>
    </row>
    <row r="87" spans="2:6" ht="42.75" customHeight="1" thickBot="1" x14ac:dyDescent="0.3">
      <c r="B87" s="280" t="s">
        <v>24</v>
      </c>
      <c r="C87" s="281"/>
      <c r="D87" s="37">
        <v>45637</v>
      </c>
    </row>
    <row r="88" spans="2:6" ht="42.75" customHeight="1" thickBot="1" x14ac:dyDescent="0.3">
      <c r="B88" s="98" t="s">
        <v>21</v>
      </c>
      <c r="C88" s="99" t="s">
        <v>22</v>
      </c>
      <c r="D88" s="100" t="s">
        <v>23</v>
      </c>
    </row>
    <row r="89" spans="2:6" ht="42.75" customHeight="1" x14ac:dyDescent="0.25">
      <c r="B89" s="85" t="s">
        <v>19</v>
      </c>
      <c r="C89" s="86" t="s">
        <v>69</v>
      </c>
      <c r="D89" s="87">
        <v>1175</v>
      </c>
    </row>
    <row r="90" spans="2:6" ht="42.75" customHeight="1" x14ac:dyDescent="0.25">
      <c r="B90" s="88" t="s">
        <v>51</v>
      </c>
      <c r="C90" s="80" t="s">
        <v>26</v>
      </c>
      <c r="D90" s="89">
        <v>1228</v>
      </c>
    </row>
    <row r="91" spans="2:6" ht="42.75" customHeight="1" x14ac:dyDescent="0.25">
      <c r="B91" s="90" t="s">
        <v>46</v>
      </c>
      <c r="C91" s="81" t="s">
        <v>48</v>
      </c>
      <c r="D91" s="89">
        <v>425</v>
      </c>
    </row>
    <row r="92" spans="2:6" ht="42.75" customHeight="1" x14ac:dyDescent="0.25">
      <c r="B92" s="90" t="s">
        <v>47</v>
      </c>
      <c r="C92" s="81" t="s">
        <v>50</v>
      </c>
      <c r="D92" s="104" t="s">
        <v>61</v>
      </c>
    </row>
    <row r="93" spans="2:6" ht="42.75" customHeight="1" x14ac:dyDescent="0.25">
      <c r="B93" s="91" t="s">
        <v>44</v>
      </c>
      <c r="C93" s="82" t="s">
        <v>45</v>
      </c>
      <c r="D93" s="92">
        <v>109.5</v>
      </c>
    </row>
    <row r="94" spans="2:6" ht="43.5" hidden="1" customHeight="1" x14ac:dyDescent="0.25">
      <c r="B94" s="93" t="s">
        <v>43</v>
      </c>
      <c r="C94" s="83" t="s">
        <v>25</v>
      </c>
      <c r="D94" s="92">
        <v>93</v>
      </c>
    </row>
    <row r="95" spans="2:6" ht="42.75" customHeight="1" x14ac:dyDescent="0.25">
      <c r="B95" s="94" t="s">
        <v>27</v>
      </c>
      <c r="C95" s="84" t="s">
        <v>26</v>
      </c>
      <c r="D95" s="92">
        <v>562</v>
      </c>
    </row>
    <row r="96" spans="2:6" ht="42.75" customHeight="1" x14ac:dyDescent="0.25">
      <c r="B96" s="94" t="s">
        <v>28</v>
      </c>
      <c r="C96" s="84" t="s">
        <v>26</v>
      </c>
      <c r="D96" s="92">
        <v>532</v>
      </c>
    </row>
    <row r="97" spans="2:4" ht="42.75" customHeight="1" x14ac:dyDescent="0.25">
      <c r="B97" s="107" t="s">
        <v>62</v>
      </c>
      <c r="C97" s="105" t="s">
        <v>65</v>
      </c>
      <c r="D97" s="92">
        <v>10850</v>
      </c>
    </row>
    <row r="98" spans="2:4" ht="42.75" customHeight="1" x14ac:dyDescent="0.25">
      <c r="B98" s="108" t="s">
        <v>63</v>
      </c>
      <c r="C98" s="106" t="s">
        <v>64</v>
      </c>
      <c r="D98" s="92" t="s">
        <v>70</v>
      </c>
    </row>
    <row r="99" spans="2:4" ht="42.75" customHeight="1" x14ac:dyDescent="0.25">
      <c r="B99" s="94" t="s">
        <v>66</v>
      </c>
      <c r="C99" s="84" t="s">
        <v>71</v>
      </c>
      <c r="D99" s="92">
        <v>495</v>
      </c>
    </row>
    <row r="100" spans="2:4" ht="42.75" customHeight="1" x14ac:dyDescent="0.25">
      <c r="B100" s="94" t="s">
        <v>67</v>
      </c>
      <c r="C100" s="84" t="s">
        <v>68</v>
      </c>
      <c r="D100" s="92">
        <v>4560</v>
      </c>
    </row>
    <row r="101" spans="2:4" ht="42.75" customHeight="1" thickBot="1" x14ac:dyDescent="0.3">
      <c r="B101" s="95"/>
      <c r="C101" s="96"/>
      <c r="D101" s="97"/>
    </row>
  </sheetData>
  <mergeCells count="6">
    <mergeCell ref="B87:C87"/>
    <mergeCell ref="B12:C12"/>
    <mergeCell ref="B26:C26"/>
    <mergeCell ref="B41:C41"/>
    <mergeCell ref="B56:C56"/>
    <mergeCell ref="B72:C72"/>
  </mergeCells>
  <pageMargins left="0.7" right="0.7" top="0.75" bottom="0.75" header="0.3" footer="0.3"/>
  <pageSetup paperSize="9" orientation="portrait" r:id="rId1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1:F13"/>
  <sheetViews>
    <sheetView zoomScale="85" zoomScaleNormal="85" workbookViewId="0">
      <selection activeCell="C19" sqref="C19"/>
    </sheetView>
  </sheetViews>
  <sheetFormatPr defaultRowHeight="15" x14ac:dyDescent="0.25"/>
  <cols>
    <col min="2" max="2" width="26.5703125" customWidth="1"/>
    <col min="3" max="3" width="35.7109375" style="29" customWidth="1"/>
    <col min="4" max="4" width="31.140625" customWidth="1"/>
    <col min="5" max="5" width="32.85546875" customWidth="1"/>
    <col min="6" max="6" width="15.42578125" customWidth="1"/>
    <col min="7" max="7" width="40.140625" customWidth="1"/>
    <col min="8" max="9" width="24.140625" bestFit="1" customWidth="1"/>
  </cols>
  <sheetData>
    <row r="1" spans="2:6" ht="76.5" customHeight="1" thickBot="1" x14ac:dyDescent="0.3"/>
    <row r="2" spans="2:6" ht="27" thickBot="1" x14ac:dyDescent="0.3">
      <c r="B2" s="280" t="s">
        <v>24</v>
      </c>
      <c r="C2" s="281"/>
      <c r="D2" s="35">
        <v>45161</v>
      </c>
      <c r="E2" s="35"/>
      <c r="F2" s="58"/>
    </row>
    <row r="3" spans="2:6" ht="42.75" thickBot="1" x14ac:dyDescent="0.3">
      <c r="B3" s="55" t="s">
        <v>21</v>
      </c>
      <c r="C3" s="56" t="s">
        <v>22</v>
      </c>
      <c r="D3" s="54" t="s">
        <v>23</v>
      </c>
      <c r="E3" s="57" t="s">
        <v>23</v>
      </c>
      <c r="F3" s="62" t="s">
        <v>37</v>
      </c>
    </row>
    <row r="4" spans="2:6" ht="28.5" x14ac:dyDescent="0.25">
      <c r="B4" s="45" t="s">
        <v>19</v>
      </c>
      <c r="C4" s="46"/>
      <c r="D4" s="63" t="s">
        <v>29</v>
      </c>
      <c r="E4" s="63" t="s">
        <v>30</v>
      </c>
      <c r="F4" s="60"/>
    </row>
    <row r="5" spans="2:6" ht="28.5" x14ac:dyDescent="0.25">
      <c r="B5" s="64"/>
      <c r="C5" s="53" t="s">
        <v>16</v>
      </c>
      <c r="D5" s="51">
        <v>1025</v>
      </c>
      <c r="E5" s="51" t="s">
        <v>34</v>
      </c>
      <c r="F5" s="61"/>
    </row>
    <row r="6" spans="2:6" ht="42.75" thickBot="1" x14ac:dyDescent="0.3">
      <c r="B6" s="65"/>
      <c r="C6" s="66" t="s">
        <v>38</v>
      </c>
      <c r="D6" s="67">
        <v>1125</v>
      </c>
      <c r="E6" s="67">
        <v>1065</v>
      </c>
      <c r="F6" s="68">
        <f>(E6-D6)/D6</f>
        <v>-5.3333333333333337E-2</v>
      </c>
    </row>
    <row r="7" spans="2:6" ht="42" x14ac:dyDescent="0.25">
      <c r="B7" s="48" t="s">
        <v>31</v>
      </c>
      <c r="C7" s="49"/>
      <c r="D7" s="69" t="s">
        <v>32</v>
      </c>
      <c r="E7" s="69" t="s">
        <v>33</v>
      </c>
      <c r="F7" s="60"/>
    </row>
    <row r="8" spans="2:6" ht="28.5" x14ac:dyDescent="0.25">
      <c r="B8" s="71"/>
      <c r="C8" s="50" t="s">
        <v>40</v>
      </c>
      <c r="D8" s="51">
        <v>346</v>
      </c>
      <c r="E8" s="51">
        <v>370</v>
      </c>
      <c r="F8" s="70">
        <f>(E8-D8)/D8</f>
        <v>6.9364161849710976E-2</v>
      </c>
    </row>
    <row r="9" spans="2:6" ht="28.5" x14ac:dyDescent="0.25">
      <c r="B9" s="71"/>
      <c r="C9" s="50" t="s">
        <v>39</v>
      </c>
      <c r="D9" s="51">
        <f>303*1.2</f>
        <v>363.59999999999997</v>
      </c>
      <c r="E9" s="51">
        <f>300*1.2</f>
        <v>360</v>
      </c>
      <c r="F9" s="70">
        <f>(E9-D9)/D9</f>
        <v>-9.9009900990098074E-3</v>
      </c>
    </row>
    <row r="10" spans="2:6" ht="29.25" thickBot="1" x14ac:dyDescent="0.3">
      <c r="B10" s="72"/>
      <c r="C10" s="52" t="s">
        <v>41</v>
      </c>
      <c r="D10" s="67">
        <f>335*1.2</f>
        <v>402</v>
      </c>
      <c r="E10" s="67">
        <f>325*1.2</f>
        <v>390</v>
      </c>
      <c r="F10" s="68">
        <f>(E10-D10)/D10</f>
        <v>-2.9850746268656716E-2</v>
      </c>
    </row>
    <row r="11" spans="2:6" ht="63" x14ac:dyDescent="0.25">
      <c r="B11" s="47" t="s">
        <v>28</v>
      </c>
      <c r="C11" s="73" t="s">
        <v>26</v>
      </c>
      <c r="D11" s="51">
        <v>388</v>
      </c>
      <c r="E11" s="59"/>
      <c r="F11" s="59"/>
    </row>
    <row r="12" spans="2:6" ht="63" x14ac:dyDescent="0.25">
      <c r="B12" s="47" t="s">
        <v>35</v>
      </c>
      <c r="C12" s="73" t="s">
        <v>26</v>
      </c>
      <c r="D12" s="51" t="s">
        <v>42</v>
      </c>
      <c r="E12" s="59"/>
      <c r="F12" s="59"/>
    </row>
    <row r="13" spans="2:6" ht="63" x14ac:dyDescent="0.25">
      <c r="B13" s="47" t="s">
        <v>36</v>
      </c>
      <c r="C13" s="73" t="s">
        <v>26</v>
      </c>
      <c r="D13" s="51" t="s">
        <v>42</v>
      </c>
      <c r="E13" s="59"/>
      <c r="F13" s="59"/>
    </row>
  </sheetData>
  <mergeCells count="1">
    <mergeCell ref="B2:C2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B25:K122"/>
  <sheetViews>
    <sheetView topLeftCell="B106" workbookViewId="0">
      <selection activeCell="B114" sqref="B114:B115"/>
    </sheetView>
  </sheetViews>
  <sheetFormatPr defaultRowHeight="15" x14ac:dyDescent="0.25"/>
  <cols>
    <col min="2" max="2" width="31.42578125" customWidth="1"/>
    <col min="3" max="3" width="32.28515625" customWidth="1"/>
    <col min="4" max="4" width="37.42578125" customWidth="1"/>
    <col min="5" max="8" width="18.85546875" style="75" customWidth="1"/>
    <col min="9" max="10" width="10.42578125" style="75" bestFit="1" customWidth="1"/>
  </cols>
  <sheetData>
    <row r="25" spans="2:4" ht="15.75" thickBot="1" x14ac:dyDescent="0.3"/>
    <row r="26" spans="2:4" ht="27" thickBot="1" x14ac:dyDescent="0.3">
      <c r="B26" s="280" t="s">
        <v>24</v>
      </c>
      <c r="C26" s="281"/>
      <c r="D26" s="37">
        <v>45162</v>
      </c>
    </row>
    <row r="27" spans="2:4" ht="21.75" thickBot="1" x14ac:dyDescent="0.3">
      <c r="B27" s="39" t="s">
        <v>21</v>
      </c>
      <c r="C27" s="40" t="s">
        <v>22</v>
      </c>
      <c r="D27" s="41" t="s">
        <v>23</v>
      </c>
    </row>
    <row r="28" spans="2:4" ht="28.5" x14ac:dyDescent="0.25">
      <c r="B28" s="42" t="s">
        <v>19</v>
      </c>
      <c r="C28" s="42" t="s">
        <v>16</v>
      </c>
      <c r="D28" s="38">
        <v>1025</v>
      </c>
    </row>
    <row r="29" spans="2:4" ht="42" x14ac:dyDescent="0.25">
      <c r="B29" s="43" t="s">
        <v>20</v>
      </c>
      <c r="C29" s="43" t="s">
        <v>25</v>
      </c>
      <c r="D29" s="36">
        <v>98.3</v>
      </c>
    </row>
    <row r="30" spans="2:4" ht="42" x14ac:dyDescent="0.25">
      <c r="B30" s="44" t="s">
        <v>27</v>
      </c>
      <c r="C30" s="44" t="s">
        <v>26</v>
      </c>
      <c r="D30" s="36">
        <v>420</v>
      </c>
    </row>
    <row r="31" spans="2:4" ht="42" x14ac:dyDescent="0.25">
      <c r="B31" s="44" t="s">
        <v>28</v>
      </c>
      <c r="C31" s="44" t="s">
        <v>26</v>
      </c>
      <c r="D31" s="36">
        <v>388</v>
      </c>
    </row>
    <row r="40" spans="2:4" ht="15.75" thickBot="1" x14ac:dyDescent="0.3"/>
    <row r="41" spans="2:4" ht="27" thickBot="1" x14ac:dyDescent="0.3">
      <c r="B41" s="280" t="s">
        <v>24</v>
      </c>
      <c r="C41" s="281"/>
      <c r="D41" s="37">
        <v>45166</v>
      </c>
    </row>
    <row r="42" spans="2:4" ht="21.75" thickBot="1" x14ac:dyDescent="0.3">
      <c r="B42" s="39" t="s">
        <v>21</v>
      </c>
      <c r="C42" s="40" t="s">
        <v>22</v>
      </c>
      <c r="D42" s="41" t="s">
        <v>23</v>
      </c>
    </row>
    <row r="43" spans="2:4" ht="28.5" x14ac:dyDescent="0.25">
      <c r="B43" s="42" t="s">
        <v>19</v>
      </c>
      <c r="C43" s="42" t="s">
        <v>16</v>
      </c>
      <c r="D43" s="38">
        <v>1025</v>
      </c>
    </row>
    <row r="44" spans="2:4" ht="42" x14ac:dyDescent="0.25">
      <c r="B44" s="43" t="s">
        <v>44</v>
      </c>
      <c r="C44" s="43" t="s">
        <v>25</v>
      </c>
      <c r="D44" s="36">
        <v>98.3</v>
      </c>
    </row>
    <row r="45" spans="2:4" ht="42" x14ac:dyDescent="0.25">
      <c r="B45" s="50" t="s">
        <v>43</v>
      </c>
      <c r="C45" s="50" t="s">
        <v>25</v>
      </c>
      <c r="D45" s="36">
        <v>80.5</v>
      </c>
    </row>
    <row r="46" spans="2:4" ht="42" x14ac:dyDescent="0.25">
      <c r="B46" s="44" t="s">
        <v>27</v>
      </c>
      <c r="C46" s="44" t="s">
        <v>26</v>
      </c>
      <c r="D46" s="36">
        <v>420</v>
      </c>
    </row>
    <row r="47" spans="2:4" ht="42" x14ac:dyDescent="0.25">
      <c r="B47" s="44" t="s">
        <v>28</v>
      </c>
      <c r="C47" s="44" t="s">
        <v>26</v>
      </c>
      <c r="D47" s="36">
        <v>388</v>
      </c>
    </row>
    <row r="49" spans="2:8" ht="15.75" thickBot="1" x14ac:dyDescent="0.3"/>
    <row r="50" spans="2:8" ht="27" thickBot="1" x14ac:dyDescent="0.3">
      <c r="B50" s="280" t="s">
        <v>24</v>
      </c>
      <c r="C50" s="281"/>
      <c r="D50" s="37">
        <v>45167</v>
      </c>
    </row>
    <row r="51" spans="2:8" ht="21.75" thickBot="1" x14ac:dyDescent="0.3">
      <c r="B51" s="39" t="s">
        <v>21</v>
      </c>
      <c r="C51" s="40" t="s">
        <v>22</v>
      </c>
      <c r="D51" s="41" t="s">
        <v>23</v>
      </c>
    </row>
    <row r="52" spans="2:8" ht="28.5" x14ac:dyDescent="0.25">
      <c r="B52" s="42" t="s">
        <v>19</v>
      </c>
      <c r="C52" s="42" t="s">
        <v>16</v>
      </c>
      <c r="D52" s="38">
        <v>1025</v>
      </c>
    </row>
    <row r="53" spans="2:8" ht="44.25" x14ac:dyDescent="0.25">
      <c r="B53" s="43" t="s">
        <v>44</v>
      </c>
      <c r="C53" s="43" t="s">
        <v>45</v>
      </c>
      <c r="D53" s="36">
        <v>105.8</v>
      </c>
    </row>
    <row r="54" spans="2:8" ht="42" x14ac:dyDescent="0.25">
      <c r="B54" s="50" t="s">
        <v>43</v>
      </c>
      <c r="C54" s="50" t="s">
        <v>25</v>
      </c>
      <c r="D54" s="36">
        <v>80.5</v>
      </c>
    </row>
    <row r="55" spans="2:8" ht="42" x14ac:dyDescent="0.25">
      <c r="B55" s="44" t="s">
        <v>27</v>
      </c>
      <c r="C55" s="44" t="s">
        <v>26</v>
      </c>
      <c r="D55" s="36">
        <v>420</v>
      </c>
    </row>
    <row r="56" spans="2:8" ht="42" x14ac:dyDescent="0.25">
      <c r="B56" s="44" t="s">
        <v>28</v>
      </c>
      <c r="C56" s="44" t="s">
        <v>26</v>
      </c>
      <c r="D56" s="36">
        <v>388</v>
      </c>
    </row>
    <row r="58" spans="2:8" ht="15.75" thickBot="1" x14ac:dyDescent="0.3"/>
    <row r="59" spans="2:8" ht="42.75" customHeight="1" thickBot="1" x14ac:dyDescent="0.3">
      <c r="B59" s="280" t="s">
        <v>24</v>
      </c>
      <c r="C59" s="281"/>
      <c r="D59" s="37">
        <v>45168</v>
      </c>
      <c r="E59" s="76">
        <v>45169</v>
      </c>
      <c r="F59" s="76">
        <v>45170</v>
      </c>
      <c r="G59" s="76">
        <v>45173</v>
      </c>
    </row>
    <row r="60" spans="2:8" ht="38.25" customHeight="1" thickBot="1" x14ac:dyDescent="0.3">
      <c r="B60" s="39" t="s">
        <v>21</v>
      </c>
      <c r="C60" s="40" t="s">
        <v>22</v>
      </c>
      <c r="D60" s="41" t="s">
        <v>23</v>
      </c>
      <c r="E60" s="77" t="s">
        <v>23</v>
      </c>
      <c r="F60" s="77" t="s">
        <v>23</v>
      </c>
      <c r="G60" s="77" t="s">
        <v>23</v>
      </c>
    </row>
    <row r="61" spans="2:8" ht="42.75" customHeight="1" x14ac:dyDescent="0.25">
      <c r="B61" s="42" t="s">
        <v>19</v>
      </c>
      <c r="C61" s="42" t="s">
        <v>16</v>
      </c>
      <c r="D61" s="38">
        <v>1020</v>
      </c>
      <c r="E61" s="78">
        <v>1020</v>
      </c>
      <c r="F61" s="78">
        <v>1020</v>
      </c>
      <c r="G61" s="78">
        <v>1040</v>
      </c>
    </row>
    <row r="62" spans="2:8" ht="59.25" customHeight="1" x14ac:dyDescent="0.25">
      <c r="B62" s="43" t="s">
        <v>44</v>
      </c>
      <c r="C62" s="43" t="s">
        <v>45</v>
      </c>
      <c r="D62" s="36">
        <v>105.8</v>
      </c>
      <c r="E62" s="79">
        <v>105.8</v>
      </c>
      <c r="F62" s="79">
        <v>105.8</v>
      </c>
      <c r="G62" s="79">
        <v>105.8</v>
      </c>
      <c r="H62" s="78">
        <v>346</v>
      </c>
    </row>
    <row r="63" spans="2:8" ht="59.25" customHeight="1" x14ac:dyDescent="0.25">
      <c r="B63" s="50" t="s">
        <v>43</v>
      </c>
      <c r="C63" s="50" t="s">
        <v>25</v>
      </c>
      <c r="D63" s="36">
        <v>80.5</v>
      </c>
      <c r="E63" s="79">
        <v>80.5</v>
      </c>
      <c r="F63" s="79">
        <v>82.5</v>
      </c>
      <c r="G63" s="79">
        <v>83.5</v>
      </c>
      <c r="H63" s="78" t="s">
        <v>49</v>
      </c>
    </row>
    <row r="64" spans="2:8" ht="60" customHeight="1" x14ac:dyDescent="0.25">
      <c r="B64" s="44" t="s">
        <v>27</v>
      </c>
      <c r="C64" s="44" t="s">
        <v>26</v>
      </c>
      <c r="D64" s="36">
        <v>420</v>
      </c>
      <c r="E64" s="79">
        <v>420</v>
      </c>
      <c r="F64" s="79">
        <v>420</v>
      </c>
      <c r="G64" s="79">
        <v>420</v>
      </c>
    </row>
    <row r="65" spans="2:7" ht="60" customHeight="1" x14ac:dyDescent="0.25">
      <c r="B65" s="44" t="s">
        <v>28</v>
      </c>
      <c r="C65" s="44" t="s">
        <v>26</v>
      </c>
      <c r="D65" s="36">
        <v>388</v>
      </c>
      <c r="E65" s="79">
        <v>388</v>
      </c>
      <c r="F65" s="79">
        <v>388</v>
      </c>
      <c r="G65" s="79">
        <v>388</v>
      </c>
    </row>
    <row r="71" spans="2:7" ht="15.75" thickBot="1" x14ac:dyDescent="0.3"/>
    <row r="72" spans="2:7" ht="27" thickBot="1" x14ac:dyDescent="0.3">
      <c r="B72" s="280" t="s">
        <v>24</v>
      </c>
      <c r="C72" s="281"/>
      <c r="D72" s="37">
        <v>45174</v>
      </c>
    </row>
    <row r="73" spans="2:7" ht="21.75" thickBot="1" x14ac:dyDescent="0.3">
      <c r="B73" s="39" t="s">
        <v>21</v>
      </c>
      <c r="C73" s="40" t="s">
        <v>22</v>
      </c>
      <c r="D73" s="41" t="s">
        <v>23</v>
      </c>
    </row>
    <row r="74" spans="2:7" ht="28.5" x14ac:dyDescent="0.25">
      <c r="B74" s="42" t="s">
        <v>19</v>
      </c>
      <c r="C74" s="42" t="s">
        <v>16</v>
      </c>
      <c r="D74" s="38">
        <v>1040</v>
      </c>
    </row>
    <row r="75" spans="2:7" ht="42" x14ac:dyDescent="0.25">
      <c r="B75" s="42" t="s">
        <v>51</v>
      </c>
      <c r="C75" s="42" t="s">
        <v>26</v>
      </c>
      <c r="D75" s="38">
        <v>1189</v>
      </c>
    </row>
    <row r="76" spans="2:7" ht="28.5" x14ac:dyDescent="0.25">
      <c r="B76" s="74" t="s">
        <v>46</v>
      </c>
      <c r="C76" s="74" t="s">
        <v>48</v>
      </c>
      <c r="D76" s="38">
        <v>346</v>
      </c>
    </row>
    <row r="77" spans="2:7" ht="42" x14ac:dyDescent="0.25">
      <c r="B77" s="74" t="s">
        <v>47</v>
      </c>
      <c r="C77" s="74" t="s">
        <v>50</v>
      </c>
      <c r="D77" s="38" t="s">
        <v>49</v>
      </c>
    </row>
    <row r="78" spans="2:7" ht="44.25" x14ac:dyDescent="0.25">
      <c r="B78" s="43" t="s">
        <v>44</v>
      </c>
      <c r="C78" s="43" t="s">
        <v>45</v>
      </c>
      <c r="D78" s="36">
        <v>105.8</v>
      </c>
    </row>
    <row r="79" spans="2:7" ht="42" x14ac:dyDescent="0.25">
      <c r="B79" s="50" t="s">
        <v>43</v>
      </c>
      <c r="C79" s="50" t="s">
        <v>25</v>
      </c>
      <c r="D79" s="36">
        <v>83.5</v>
      </c>
    </row>
    <row r="80" spans="2:7" ht="42" x14ac:dyDescent="0.25">
      <c r="B80" s="44" t="s">
        <v>27</v>
      </c>
      <c r="C80" s="44" t="s">
        <v>26</v>
      </c>
      <c r="D80" s="36">
        <v>424</v>
      </c>
    </row>
    <row r="81" spans="2:4" ht="42" x14ac:dyDescent="0.25">
      <c r="B81" s="44" t="s">
        <v>28</v>
      </c>
      <c r="C81" s="44" t="s">
        <v>26</v>
      </c>
      <c r="D81" s="36">
        <v>392</v>
      </c>
    </row>
    <row r="82" spans="2:4" ht="15.75" thickBot="1" x14ac:dyDescent="0.3"/>
    <row r="83" spans="2:4" ht="42.75" customHeight="1" thickBot="1" x14ac:dyDescent="0.3">
      <c r="B83" s="280" t="s">
        <v>24</v>
      </c>
      <c r="C83" s="281"/>
      <c r="D83" s="37">
        <v>45175</v>
      </c>
    </row>
    <row r="84" spans="2:4" ht="38.25" customHeight="1" thickBot="1" x14ac:dyDescent="0.3">
      <c r="B84" s="39" t="s">
        <v>21</v>
      </c>
      <c r="C84" s="40" t="s">
        <v>22</v>
      </c>
      <c r="D84" s="41" t="s">
        <v>23</v>
      </c>
    </row>
    <row r="85" spans="2:4" ht="42.75" customHeight="1" x14ac:dyDescent="0.25">
      <c r="B85" s="42" t="s">
        <v>19</v>
      </c>
      <c r="C85" s="42" t="s">
        <v>16</v>
      </c>
      <c r="D85" s="38">
        <v>1040</v>
      </c>
    </row>
    <row r="86" spans="2:4" ht="42.75" customHeight="1" x14ac:dyDescent="0.25">
      <c r="B86" s="42" t="s">
        <v>51</v>
      </c>
      <c r="C86" s="42" t="s">
        <v>26</v>
      </c>
      <c r="D86" s="38">
        <v>1189</v>
      </c>
    </row>
    <row r="87" spans="2:4" ht="42.75" customHeight="1" x14ac:dyDescent="0.25">
      <c r="B87" s="74" t="s">
        <v>46</v>
      </c>
      <c r="C87" s="74" t="s">
        <v>48</v>
      </c>
      <c r="D87" s="38">
        <v>346</v>
      </c>
    </row>
    <row r="88" spans="2:4" ht="42.75" customHeight="1" x14ac:dyDescent="0.25">
      <c r="B88" s="74" t="s">
        <v>47</v>
      </c>
      <c r="C88" s="74" t="s">
        <v>50</v>
      </c>
      <c r="D88" s="38" t="s">
        <v>52</v>
      </c>
    </row>
    <row r="89" spans="2:4" ht="59.25" customHeight="1" x14ac:dyDescent="0.25">
      <c r="B89" s="43" t="s">
        <v>44</v>
      </c>
      <c r="C89" s="43" t="s">
        <v>45</v>
      </c>
      <c r="D89" s="36">
        <v>105.8</v>
      </c>
    </row>
    <row r="90" spans="2:4" ht="84.75" customHeight="1" x14ac:dyDescent="0.25">
      <c r="B90" s="43" t="s">
        <v>53</v>
      </c>
      <c r="C90" s="43" t="s">
        <v>45</v>
      </c>
      <c r="D90" s="36">
        <f>D89-5</f>
        <v>100.8</v>
      </c>
    </row>
    <row r="91" spans="2:4" ht="59.25" customHeight="1" x14ac:dyDescent="0.25">
      <c r="B91" s="50" t="s">
        <v>43</v>
      </c>
      <c r="C91" s="50" t="s">
        <v>25</v>
      </c>
      <c r="D91" s="36">
        <v>83.5</v>
      </c>
    </row>
    <row r="92" spans="2:4" ht="90" customHeight="1" x14ac:dyDescent="0.25">
      <c r="B92" s="50" t="s">
        <v>54</v>
      </c>
      <c r="C92" s="50" t="s">
        <v>25</v>
      </c>
      <c r="D92" s="36">
        <f>D91-5</f>
        <v>78.5</v>
      </c>
    </row>
    <row r="93" spans="2:4" ht="60" customHeight="1" x14ac:dyDescent="0.25">
      <c r="B93" s="44" t="s">
        <v>27</v>
      </c>
      <c r="C93" s="44" t="s">
        <v>26</v>
      </c>
      <c r="D93" s="36">
        <v>424</v>
      </c>
    </row>
    <row r="94" spans="2:4" ht="60" customHeight="1" x14ac:dyDescent="0.25">
      <c r="B94" s="44" t="s">
        <v>28</v>
      </c>
      <c r="C94" s="44" t="s">
        <v>26</v>
      </c>
      <c r="D94" s="36">
        <v>392</v>
      </c>
    </row>
    <row r="95" spans="2:4" ht="15.75" thickBot="1" x14ac:dyDescent="0.3"/>
    <row r="96" spans="2:4" ht="27" thickBot="1" x14ac:dyDescent="0.3">
      <c r="B96" s="280" t="s">
        <v>24</v>
      </c>
      <c r="C96" s="281"/>
      <c r="D96" s="37">
        <v>45176</v>
      </c>
    </row>
    <row r="97" spans="2:11" ht="21.75" thickBot="1" x14ac:dyDescent="0.3">
      <c r="B97" s="39" t="s">
        <v>21</v>
      </c>
      <c r="C97" s="40" t="s">
        <v>22</v>
      </c>
      <c r="D97" s="41" t="s">
        <v>23</v>
      </c>
    </row>
    <row r="98" spans="2:11" ht="28.5" x14ac:dyDescent="0.25">
      <c r="B98" s="42" t="s">
        <v>19</v>
      </c>
      <c r="C98" s="42" t="s">
        <v>16</v>
      </c>
      <c r="D98" s="38">
        <v>1045</v>
      </c>
    </row>
    <row r="99" spans="2:11" ht="42" x14ac:dyDescent="0.25">
      <c r="B99" s="42" t="s">
        <v>51</v>
      </c>
      <c r="C99" s="42" t="s">
        <v>26</v>
      </c>
      <c r="D99" s="38">
        <v>1189</v>
      </c>
    </row>
    <row r="100" spans="2:11" ht="28.5" x14ac:dyDescent="0.25">
      <c r="B100" s="74" t="s">
        <v>46</v>
      </c>
      <c r="C100" s="74" t="s">
        <v>48</v>
      </c>
      <c r="D100" s="38">
        <v>346</v>
      </c>
    </row>
    <row r="101" spans="2:11" ht="42" x14ac:dyDescent="0.25">
      <c r="B101" s="74" t="s">
        <v>47</v>
      </c>
      <c r="C101" s="74" t="s">
        <v>50</v>
      </c>
      <c r="D101" s="38" t="s">
        <v>52</v>
      </c>
    </row>
    <row r="102" spans="2:11" ht="44.25" x14ac:dyDescent="0.25">
      <c r="B102" s="43" t="s">
        <v>44</v>
      </c>
      <c r="C102" s="43" t="s">
        <v>45</v>
      </c>
      <c r="D102" s="36">
        <v>105.8</v>
      </c>
    </row>
    <row r="103" spans="2:11" ht="84" x14ac:dyDescent="0.25">
      <c r="B103" s="43" t="s">
        <v>53</v>
      </c>
      <c r="C103" s="43" t="s">
        <v>45</v>
      </c>
      <c r="D103" s="36">
        <f>D102-5</f>
        <v>100.8</v>
      </c>
    </row>
    <row r="104" spans="2:11" ht="42" x14ac:dyDescent="0.25">
      <c r="B104" s="50" t="s">
        <v>43</v>
      </c>
      <c r="C104" s="50" t="s">
        <v>25</v>
      </c>
      <c r="D104" s="36">
        <v>83.5</v>
      </c>
    </row>
    <row r="105" spans="2:11" ht="84" x14ac:dyDescent="0.25">
      <c r="B105" s="50" t="s">
        <v>54</v>
      </c>
      <c r="C105" s="50" t="s">
        <v>25</v>
      </c>
      <c r="D105" s="36">
        <f>D104-5</f>
        <v>78.5</v>
      </c>
    </row>
    <row r="106" spans="2:11" ht="42" x14ac:dyDescent="0.25">
      <c r="B106" s="44" t="s">
        <v>27</v>
      </c>
      <c r="C106" s="44" t="s">
        <v>26</v>
      </c>
      <c r="D106" s="36">
        <v>424</v>
      </c>
    </row>
    <row r="107" spans="2:11" ht="42" x14ac:dyDescent="0.25">
      <c r="B107" s="44" t="s">
        <v>28</v>
      </c>
      <c r="C107" s="44" t="s">
        <v>26</v>
      </c>
      <c r="D107" s="36">
        <v>392</v>
      </c>
    </row>
    <row r="108" spans="2:11" ht="84" x14ac:dyDescent="0.25">
      <c r="B108" s="44" t="s">
        <v>55</v>
      </c>
      <c r="C108" s="44" t="s">
        <v>26</v>
      </c>
      <c r="D108" s="36">
        <f>D106*(100-3.27)/100</f>
        <v>410.13520000000005</v>
      </c>
    </row>
    <row r="109" spans="2:11" ht="15.75" thickBot="1" x14ac:dyDescent="0.3"/>
    <row r="110" spans="2:11" ht="27" thickBot="1" x14ac:dyDescent="0.3">
      <c r="B110" s="280" t="s">
        <v>24</v>
      </c>
      <c r="C110" s="281"/>
      <c r="D110" s="37">
        <v>45180</v>
      </c>
      <c r="E110" s="76">
        <v>45181</v>
      </c>
      <c r="F110" s="76">
        <v>45182</v>
      </c>
      <c r="G110" s="76">
        <v>45211</v>
      </c>
      <c r="H110" s="76">
        <v>45212</v>
      </c>
      <c r="I110" s="76">
        <v>45215</v>
      </c>
      <c r="J110" s="76">
        <v>45216</v>
      </c>
      <c r="K110" s="37">
        <v>45217</v>
      </c>
    </row>
    <row r="111" spans="2:11" ht="63.75" thickBot="1" x14ac:dyDescent="0.3">
      <c r="B111" s="39" t="s">
        <v>21</v>
      </c>
      <c r="C111" s="40" t="s">
        <v>22</v>
      </c>
      <c r="D111" s="41" t="s">
        <v>23</v>
      </c>
      <c r="E111" s="77" t="s">
        <v>23</v>
      </c>
      <c r="F111" s="77" t="s">
        <v>23</v>
      </c>
      <c r="G111" s="77" t="s">
        <v>23</v>
      </c>
      <c r="H111" s="77" t="s">
        <v>23</v>
      </c>
      <c r="I111" s="77" t="s">
        <v>23</v>
      </c>
      <c r="J111" s="77" t="s">
        <v>23</v>
      </c>
      <c r="K111" s="41" t="s">
        <v>23</v>
      </c>
    </row>
    <row r="112" spans="2:11" ht="28.5" x14ac:dyDescent="0.25">
      <c r="B112" s="42" t="s">
        <v>19</v>
      </c>
      <c r="C112" s="42" t="s">
        <v>16</v>
      </c>
      <c r="D112" s="38">
        <v>1045</v>
      </c>
      <c r="E112" s="78">
        <v>1045</v>
      </c>
      <c r="F112" s="78">
        <v>1045</v>
      </c>
      <c r="G112" s="78">
        <v>1045</v>
      </c>
      <c r="H112" s="78">
        <v>1045</v>
      </c>
      <c r="I112" s="78">
        <v>1045</v>
      </c>
      <c r="J112" s="78">
        <v>1045</v>
      </c>
      <c r="K112" s="38">
        <v>1045</v>
      </c>
    </row>
    <row r="113" spans="2:11" ht="42" x14ac:dyDescent="0.25">
      <c r="B113" s="42" t="s">
        <v>51</v>
      </c>
      <c r="C113" s="42" t="s">
        <v>26</v>
      </c>
      <c r="D113" s="38">
        <v>1189</v>
      </c>
      <c r="E113" s="78">
        <v>1212</v>
      </c>
      <c r="F113" s="78">
        <v>1212</v>
      </c>
      <c r="G113" s="78">
        <v>1187</v>
      </c>
      <c r="H113" s="78">
        <v>1187</v>
      </c>
      <c r="I113" s="78">
        <v>1187</v>
      </c>
      <c r="J113" s="78">
        <v>1187</v>
      </c>
      <c r="K113" s="38">
        <v>1187</v>
      </c>
    </row>
    <row r="114" spans="2:11" ht="28.5" x14ac:dyDescent="0.25">
      <c r="B114" s="74" t="s">
        <v>46</v>
      </c>
      <c r="C114" s="74" t="s">
        <v>48</v>
      </c>
      <c r="D114" s="38">
        <v>346</v>
      </c>
      <c r="E114" s="78">
        <v>350</v>
      </c>
      <c r="F114" s="78">
        <v>350</v>
      </c>
      <c r="G114" s="78">
        <v>360</v>
      </c>
      <c r="H114" s="78">
        <v>360</v>
      </c>
      <c r="I114" s="78">
        <v>360</v>
      </c>
      <c r="J114" s="78">
        <v>360</v>
      </c>
      <c r="K114" s="38">
        <v>360</v>
      </c>
    </row>
    <row r="115" spans="2:11" ht="114" x14ac:dyDescent="0.25">
      <c r="B115" s="74" t="s">
        <v>47</v>
      </c>
      <c r="C115" s="74" t="s">
        <v>50</v>
      </c>
      <c r="D115" s="38" t="s">
        <v>52</v>
      </c>
      <c r="E115" s="78" t="s">
        <v>56</v>
      </c>
      <c r="F115" s="78" t="s">
        <v>56</v>
      </c>
      <c r="G115" s="78" t="s">
        <v>57</v>
      </c>
      <c r="H115" s="78" t="s">
        <v>57</v>
      </c>
      <c r="I115" s="78" t="s">
        <v>57</v>
      </c>
      <c r="J115" s="78" t="s">
        <v>57</v>
      </c>
      <c r="K115" s="38" t="s">
        <v>57</v>
      </c>
    </row>
    <row r="116" spans="2:11" ht="44.25" x14ac:dyDescent="0.25">
      <c r="B116" s="43" t="s">
        <v>44</v>
      </c>
      <c r="C116" s="43" t="s">
        <v>45</v>
      </c>
      <c r="D116" s="36">
        <v>105.8</v>
      </c>
      <c r="E116" s="79">
        <v>105.8</v>
      </c>
      <c r="F116" s="79">
        <v>105.8</v>
      </c>
      <c r="G116" s="79">
        <v>105</v>
      </c>
      <c r="H116" s="79">
        <v>105</v>
      </c>
      <c r="I116" s="79">
        <v>105</v>
      </c>
      <c r="J116" s="79">
        <v>105</v>
      </c>
      <c r="K116" s="36">
        <v>115</v>
      </c>
    </row>
    <row r="117" spans="2:11" ht="84" x14ac:dyDescent="0.25">
      <c r="B117" s="43" t="s">
        <v>53</v>
      </c>
      <c r="C117" s="43" t="s">
        <v>45</v>
      </c>
      <c r="D117" s="36">
        <f t="shared" ref="D117:I117" si="0">D116-5</f>
        <v>100.8</v>
      </c>
      <c r="E117" s="79">
        <f t="shared" si="0"/>
        <v>100.8</v>
      </c>
      <c r="F117" s="79">
        <f t="shared" si="0"/>
        <v>100.8</v>
      </c>
      <c r="G117" s="79">
        <f t="shared" si="0"/>
        <v>100</v>
      </c>
      <c r="H117" s="79">
        <f t="shared" si="0"/>
        <v>100</v>
      </c>
      <c r="I117" s="79">
        <f t="shared" si="0"/>
        <v>100</v>
      </c>
      <c r="J117" s="79">
        <f>J116-5</f>
        <v>100</v>
      </c>
      <c r="K117" s="36">
        <v>105</v>
      </c>
    </row>
    <row r="118" spans="2:11" ht="42" x14ac:dyDescent="0.25">
      <c r="B118" s="50" t="s">
        <v>43</v>
      </c>
      <c r="C118" s="50" t="s">
        <v>25</v>
      </c>
      <c r="D118" s="36">
        <v>83.5</v>
      </c>
      <c r="E118" s="79">
        <v>85.5</v>
      </c>
      <c r="F118" s="79">
        <v>85.5</v>
      </c>
      <c r="G118" s="79">
        <v>83</v>
      </c>
      <c r="H118" s="79">
        <v>83</v>
      </c>
      <c r="I118" s="79">
        <v>83</v>
      </c>
      <c r="J118" s="79">
        <v>85</v>
      </c>
      <c r="K118" s="36">
        <v>85</v>
      </c>
    </row>
    <row r="119" spans="2:11" ht="84" x14ac:dyDescent="0.25">
      <c r="B119" s="50" t="s">
        <v>54</v>
      </c>
      <c r="C119" s="50" t="s">
        <v>25</v>
      </c>
      <c r="D119" s="36">
        <f>D118-5</f>
        <v>78.5</v>
      </c>
      <c r="E119" s="79">
        <f>E118-5</f>
        <v>80.5</v>
      </c>
      <c r="F119" s="79">
        <f>F118-5</f>
        <v>80.5</v>
      </c>
      <c r="G119" s="79">
        <v>83</v>
      </c>
      <c r="H119" s="79">
        <v>83</v>
      </c>
      <c r="I119" s="79">
        <v>83</v>
      </c>
      <c r="J119" s="79">
        <v>83</v>
      </c>
      <c r="K119" s="36">
        <v>83</v>
      </c>
    </row>
    <row r="120" spans="2:11" ht="42" x14ac:dyDescent="0.25">
      <c r="B120" s="44" t="s">
        <v>27</v>
      </c>
      <c r="C120" s="44" t="s">
        <v>26</v>
      </c>
      <c r="D120" s="36">
        <v>424</v>
      </c>
      <c r="E120" s="79">
        <v>424</v>
      </c>
      <c r="F120" s="79">
        <v>424</v>
      </c>
      <c r="G120" s="79">
        <v>437</v>
      </c>
      <c r="H120" s="79">
        <v>437</v>
      </c>
      <c r="I120" s="79">
        <v>437</v>
      </c>
      <c r="J120" s="79">
        <v>437</v>
      </c>
      <c r="K120" s="36">
        <v>437</v>
      </c>
    </row>
    <row r="121" spans="2:11" ht="42" x14ac:dyDescent="0.25">
      <c r="B121" s="44" t="s">
        <v>28</v>
      </c>
      <c r="C121" s="44" t="s">
        <v>26</v>
      </c>
      <c r="D121" s="36">
        <v>392</v>
      </c>
      <c r="E121" s="79">
        <v>392</v>
      </c>
      <c r="F121" s="79">
        <v>392</v>
      </c>
      <c r="G121" s="79">
        <v>403</v>
      </c>
      <c r="H121" s="79">
        <v>403</v>
      </c>
      <c r="I121" s="79">
        <v>408</v>
      </c>
      <c r="J121" s="79">
        <v>408</v>
      </c>
      <c r="K121" s="36">
        <v>408</v>
      </c>
    </row>
    <row r="122" spans="2:11" ht="84" x14ac:dyDescent="0.25">
      <c r="B122" s="44" t="s">
        <v>55</v>
      </c>
      <c r="C122" s="44" t="s">
        <v>26</v>
      </c>
      <c r="D122" s="36">
        <f>D120*(100-3.27)/100</f>
        <v>410.13520000000005</v>
      </c>
      <c r="E122" s="79">
        <f>E120*(100-3.27)/100</f>
        <v>410.13520000000005</v>
      </c>
      <c r="F122" s="79">
        <f>F120*(100-3.27)/100</f>
        <v>410.13520000000005</v>
      </c>
      <c r="G122" s="79">
        <v>443.02</v>
      </c>
      <c r="H122" s="79">
        <v>443.02</v>
      </c>
      <c r="I122" s="79">
        <v>443.02</v>
      </c>
      <c r="J122" s="79">
        <v>443.02</v>
      </c>
      <c r="K122" s="36">
        <v>443.02</v>
      </c>
    </row>
  </sheetData>
  <mergeCells count="8">
    <mergeCell ref="B110:C110"/>
    <mergeCell ref="B96:C96"/>
    <mergeCell ref="B83:C83"/>
    <mergeCell ref="B26:C26"/>
    <mergeCell ref="B41:C41"/>
    <mergeCell ref="B50:C50"/>
    <mergeCell ref="B59:C59"/>
    <mergeCell ref="B72:C72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5</vt:i4>
      </vt:variant>
    </vt:vector>
  </HeadingPairs>
  <TitlesOfParts>
    <vt:vector size="5" baseType="lpstr">
      <vt:lpstr>ОБЩЕЕ</vt:lpstr>
      <vt:lpstr>ПРОФИЛИ</vt:lpstr>
      <vt:lpstr>Лист1</vt:lpstr>
      <vt:lpstr>Лист2</vt:lpstr>
      <vt:lpstr>архив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Иванова Наталья</dc:creator>
  <cp:lastModifiedBy>Елена Лифшиц</cp:lastModifiedBy>
  <cp:lastPrinted>2024-12-11T06:07:33Z</cp:lastPrinted>
  <dcterms:created xsi:type="dcterms:W3CDTF">2023-08-18T13:02:46Z</dcterms:created>
  <dcterms:modified xsi:type="dcterms:W3CDTF">2026-08-20T08:58:54Z</dcterms:modified>
</cp:coreProperties>
</file>