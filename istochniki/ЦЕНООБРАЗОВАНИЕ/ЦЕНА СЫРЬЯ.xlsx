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V-FS\Shara\Docs\Папки сотрудников КЛМ\ЛИФШИЦ\РЕЕСТР\"/>
    </mc:Choice>
  </mc:AlternateContent>
  <xr:revisionPtr revIDLastSave="0" documentId="13_ncr:1_{CE969C6A-522E-4E6D-9FF4-79FE9F35BB48}" xr6:coauthVersionLast="47" xr6:coauthVersionMax="47" xr10:uidLastSave="{00000000-0000-0000-0000-000000000000}"/>
  <bookViews>
    <workbookView xWindow="-120" yWindow="-120" windowWidth="29040" windowHeight="15840" activeTab="1" xr2:uid="{209BAC3E-B768-4D88-AB5B-F27E628B8629}"/>
  </bookViews>
  <sheets>
    <sheet name="ФОРМУЛЫ " sheetId="4" r:id="rId1"/>
    <sheet name="ЦЕНЫ" sheetId="3" r:id="rId2"/>
    <sheet name="Лист1" sheetId="5" r:id="rId3"/>
    <sheet name="РЕЗУЛЬТАТ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58" i="3" l="1"/>
  <c r="G558" i="3"/>
  <c r="E558" i="3"/>
  <c r="D558" i="3"/>
  <c r="C558" i="3"/>
  <c r="I526" i="3"/>
  <c r="I558" i="3"/>
  <c r="E566" i="3"/>
  <c r="G566" i="3"/>
  <c r="C526" i="3"/>
  <c r="F526" i="3"/>
  <c r="D526" i="3"/>
  <c r="E562" i="3"/>
  <c r="G562" i="3"/>
  <c r="E563" i="3"/>
  <c r="G563" i="3"/>
  <c r="E564" i="3"/>
  <c r="G564" i="3"/>
  <c r="E565" i="3"/>
  <c r="G565" i="3"/>
  <c r="E568" i="3"/>
  <c r="G568" i="3"/>
  <c r="E569" i="3"/>
  <c r="G569" i="3"/>
  <c r="E570" i="3"/>
  <c r="G570" i="3"/>
  <c r="E571" i="3"/>
  <c r="G571" i="3"/>
  <c r="E572" i="3"/>
  <c r="G572" i="3"/>
  <c r="E575" i="3"/>
  <c r="G575" i="3"/>
  <c r="E576" i="3"/>
  <c r="G576" i="3"/>
  <c r="E577" i="3"/>
  <c r="G577" i="3"/>
  <c r="E578" i="3"/>
  <c r="G578" i="3"/>
  <c r="E579" i="3"/>
  <c r="G579" i="3"/>
  <c r="E582" i="3"/>
  <c r="G582" i="3"/>
  <c r="E583" i="3"/>
  <c r="G583" i="3"/>
  <c r="E584" i="3"/>
  <c r="G584" i="3"/>
  <c r="E585" i="3"/>
  <c r="G585" i="3"/>
  <c r="E586" i="3"/>
  <c r="G586" i="3"/>
  <c r="E589" i="3"/>
  <c r="G589" i="3"/>
  <c r="G561" i="3"/>
  <c r="E561" i="3"/>
  <c r="M500" i="3"/>
  <c r="N500" i="3"/>
  <c r="M501" i="3"/>
  <c r="N501" i="3"/>
  <c r="M507" i="3"/>
  <c r="N507" i="3"/>
  <c r="M508" i="3"/>
  <c r="N508" i="3"/>
  <c r="M514" i="3"/>
  <c r="N514" i="3"/>
  <c r="M515" i="3"/>
  <c r="N515" i="3"/>
  <c r="M521" i="3"/>
  <c r="N521" i="3"/>
  <c r="M522" i="3"/>
  <c r="N522" i="3"/>
  <c r="M525" i="3"/>
  <c r="N525" i="3"/>
  <c r="N558" i="3" l="1"/>
  <c r="M558" i="3"/>
  <c r="J558" i="3"/>
  <c r="J526" i="3"/>
  <c r="E557" i="3"/>
  <c r="G557" i="3"/>
  <c r="E546" i="3"/>
  <c r="G546" i="3"/>
  <c r="E547" i="3"/>
  <c r="G547" i="3"/>
  <c r="E548" i="3"/>
  <c r="G548" i="3"/>
  <c r="E549" i="3"/>
  <c r="G549" i="3"/>
  <c r="E550" i="3"/>
  <c r="G550" i="3"/>
  <c r="E553" i="3"/>
  <c r="G553" i="3"/>
  <c r="E554" i="3"/>
  <c r="G554" i="3"/>
  <c r="E555" i="3"/>
  <c r="G555" i="3"/>
  <c r="E532" i="3"/>
  <c r="G532" i="3"/>
  <c r="E533" i="3"/>
  <c r="G533" i="3"/>
  <c r="E534" i="3"/>
  <c r="G534" i="3"/>
  <c r="E535" i="3"/>
  <c r="G535" i="3"/>
  <c r="E536" i="3"/>
  <c r="G536" i="3"/>
  <c r="E539" i="3"/>
  <c r="G539" i="3"/>
  <c r="E540" i="3"/>
  <c r="G540" i="3"/>
  <c r="E541" i="3"/>
  <c r="G541" i="3"/>
  <c r="G556" i="3"/>
  <c r="E556" i="3"/>
  <c r="G543" i="3"/>
  <c r="E543" i="3"/>
  <c r="G542" i="3"/>
  <c r="E542" i="3"/>
  <c r="G529" i="3"/>
  <c r="E529" i="3"/>
  <c r="G528" i="3"/>
  <c r="E528" i="3"/>
  <c r="G527" i="3"/>
  <c r="E527" i="3"/>
  <c r="F494" i="3"/>
  <c r="D494" i="3"/>
  <c r="C494" i="3"/>
  <c r="L494" i="3" s="1"/>
  <c r="G524" i="3"/>
  <c r="N524" i="3" s="1"/>
  <c r="E524" i="3"/>
  <c r="M524" i="3" s="1"/>
  <c r="E516" i="3"/>
  <c r="M516" i="3" s="1"/>
  <c r="G516" i="3"/>
  <c r="N516" i="3" s="1"/>
  <c r="E517" i="3"/>
  <c r="M517" i="3" s="1"/>
  <c r="G517" i="3"/>
  <c r="N517" i="3" s="1"/>
  <c r="E518" i="3"/>
  <c r="M518" i="3" s="1"/>
  <c r="G518" i="3"/>
  <c r="N518" i="3" s="1"/>
  <c r="E503" i="3"/>
  <c r="M503" i="3" s="1"/>
  <c r="E504" i="3"/>
  <c r="M504" i="3" s="1"/>
  <c r="E505" i="3"/>
  <c r="M505" i="3" s="1"/>
  <c r="E506" i="3"/>
  <c r="M506" i="3" s="1"/>
  <c r="E509" i="3"/>
  <c r="M509" i="3" s="1"/>
  <c r="E510" i="3"/>
  <c r="M510" i="3" s="1"/>
  <c r="E511" i="3"/>
  <c r="M511" i="3" s="1"/>
  <c r="E512" i="3"/>
  <c r="M512" i="3" s="1"/>
  <c r="E513" i="3"/>
  <c r="M513" i="3" s="1"/>
  <c r="G503" i="3"/>
  <c r="N503" i="3" s="1"/>
  <c r="G504" i="3"/>
  <c r="N504" i="3" s="1"/>
  <c r="G505" i="3"/>
  <c r="N505" i="3" s="1"/>
  <c r="G506" i="3"/>
  <c r="N506" i="3" s="1"/>
  <c r="G509" i="3"/>
  <c r="N509" i="3" s="1"/>
  <c r="G510" i="3"/>
  <c r="N510" i="3" s="1"/>
  <c r="G511" i="3"/>
  <c r="N511" i="3" s="1"/>
  <c r="G512" i="3"/>
  <c r="N512" i="3" s="1"/>
  <c r="G513" i="3"/>
  <c r="N513" i="3" s="1"/>
  <c r="E526" i="3" l="1"/>
  <c r="M526" i="3" s="1"/>
  <c r="G526" i="3"/>
  <c r="N526" i="3" s="1"/>
  <c r="I494" i="3"/>
  <c r="J494" i="3"/>
  <c r="C462" i="3"/>
  <c r="F462" i="3"/>
  <c r="D462" i="3"/>
  <c r="G523" i="3"/>
  <c r="N523" i="3" s="1"/>
  <c r="E523" i="3"/>
  <c r="M523" i="3" s="1"/>
  <c r="G520" i="3"/>
  <c r="N520" i="3" s="1"/>
  <c r="E520" i="3"/>
  <c r="M520" i="3" s="1"/>
  <c r="G519" i="3"/>
  <c r="N519" i="3" s="1"/>
  <c r="E519" i="3"/>
  <c r="M519" i="3" s="1"/>
  <c r="G502" i="3"/>
  <c r="N502" i="3" s="1"/>
  <c r="E502" i="3"/>
  <c r="M502" i="3" s="1"/>
  <c r="G499" i="3"/>
  <c r="N499" i="3" s="1"/>
  <c r="E499" i="3"/>
  <c r="M499" i="3" s="1"/>
  <c r="G498" i="3"/>
  <c r="N498" i="3" s="1"/>
  <c r="E498" i="3"/>
  <c r="M498" i="3" s="1"/>
  <c r="G497" i="3"/>
  <c r="N497" i="3" s="1"/>
  <c r="E497" i="3"/>
  <c r="M497" i="3" s="1"/>
  <c r="G496" i="3"/>
  <c r="N496" i="3" s="1"/>
  <c r="E496" i="3"/>
  <c r="M496" i="3" s="1"/>
  <c r="G495" i="3"/>
  <c r="N495" i="3" s="1"/>
  <c r="E495" i="3"/>
  <c r="G473" i="3"/>
  <c r="E473" i="3"/>
  <c r="J462" i="3" l="1"/>
  <c r="E494" i="3"/>
  <c r="M494" i="3" s="1"/>
  <c r="M495" i="3"/>
  <c r="L462" i="3"/>
  <c r="G494" i="3"/>
  <c r="N494" i="3" s="1"/>
  <c r="G463" i="3"/>
  <c r="G464" i="3"/>
  <c r="G465" i="3"/>
  <c r="E463" i="3"/>
  <c r="E464" i="3"/>
  <c r="E465" i="3"/>
  <c r="F429" i="3"/>
  <c r="D429" i="3"/>
  <c r="I462" i="3" l="1"/>
  <c r="E466" i="3"/>
  <c r="G466" i="3"/>
  <c r="E467" i="3"/>
  <c r="G467" i="3"/>
  <c r="E468" i="3"/>
  <c r="G468" i="3"/>
  <c r="E469" i="3"/>
  <c r="G469" i="3"/>
  <c r="E470" i="3"/>
  <c r="G470" i="3"/>
  <c r="E474" i="3"/>
  <c r="G474" i="3"/>
  <c r="E475" i="3"/>
  <c r="G475" i="3"/>
  <c r="E476" i="3"/>
  <c r="G476" i="3"/>
  <c r="E477" i="3"/>
  <c r="G477" i="3"/>
  <c r="E480" i="3"/>
  <c r="G480" i="3"/>
  <c r="E481" i="3"/>
  <c r="G481" i="3"/>
  <c r="E482" i="3"/>
  <c r="G482" i="3"/>
  <c r="E483" i="3"/>
  <c r="G483" i="3"/>
  <c r="E484" i="3"/>
  <c r="G484" i="3"/>
  <c r="E487" i="3"/>
  <c r="G487" i="3"/>
  <c r="E488" i="3"/>
  <c r="G488" i="3"/>
  <c r="E489" i="3"/>
  <c r="G489" i="3"/>
  <c r="G491" i="3"/>
  <c r="E491" i="3"/>
  <c r="G490" i="3"/>
  <c r="E490" i="3"/>
  <c r="C436" i="3"/>
  <c r="C429" i="3" s="1"/>
  <c r="L429" i="3" s="1"/>
  <c r="C396" i="3"/>
  <c r="F396" i="3"/>
  <c r="D396" i="3"/>
  <c r="I3" i="3"/>
  <c r="E402" i="3"/>
  <c r="G402" i="3"/>
  <c r="E405" i="3"/>
  <c r="G405" i="3"/>
  <c r="E408" i="3"/>
  <c r="G408" i="3"/>
  <c r="E409" i="3"/>
  <c r="G409" i="3"/>
  <c r="E412" i="3"/>
  <c r="G412" i="3"/>
  <c r="E413" i="3"/>
  <c r="G413" i="3"/>
  <c r="E414" i="3"/>
  <c r="G414" i="3"/>
  <c r="E415" i="3"/>
  <c r="G415" i="3"/>
  <c r="E416" i="3"/>
  <c r="G416" i="3"/>
  <c r="E419" i="3"/>
  <c r="G419" i="3"/>
  <c r="E420" i="3"/>
  <c r="G420" i="3"/>
  <c r="E421" i="3"/>
  <c r="G421" i="3"/>
  <c r="E422" i="3"/>
  <c r="G422" i="3"/>
  <c r="E423" i="3"/>
  <c r="G423" i="3"/>
  <c r="E401" i="3"/>
  <c r="G401" i="3"/>
  <c r="E406" i="3"/>
  <c r="G406" i="3"/>
  <c r="E407" i="3"/>
  <c r="G407" i="3"/>
  <c r="G425" i="3"/>
  <c r="G426" i="3"/>
  <c r="G427" i="3"/>
  <c r="E425" i="3"/>
  <c r="E426" i="3"/>
  <c r="E427" i="3"/>
  <c r="G430" i="3"/>
  <c r="E430" i="3"/>
  <c r="G435" i="3"/>
  <c r="G436" i="3"/>
  <c r="G437" i="3"/>
  <c r="G438" i="3"/>
  <c r="G439" i="3"/>
  <c r="G442" i="3"/>
  <c r="G443" i="3"/>
  <c r="G444" i="3"/>
  <c r="G445" i="3"/>
  <c r="G446" i="3"/>
  <c r="G449" i="3"/>
  <c r="G450" i="3"/>
  <c r="G451" i="3"/>
  <c r="G452" i="3"/>
  <c r="G453" i="3"/>
  <c r="G456" i="3"/>
  <c r="G457" i="3"/>
  <c r="G458" i="3"/>
  <c r="G459" i="3"/>
  <c r="G460" i="3"/>
  <c r="E435" i="3"/>
  <c r="E436" i="3"/>
  <c r="E437" i="3"/>
  <c r="E438" i="3"/>
  <c r="E439" i="3"/>
  <c r="E442" i="3"/>
  <c r="E443" i="3"/>
  <c r="E444" i="3"/>
  <c r="E445" i="3"/>
  <c r="E446" i="3"/>
  <c r="E449" i="3"/>
  <c r="E450" i="3"/>
  <c r="E451" i="3"/>
  <c r="E452" i="3"/>
  <c r="E456" i="3"/>
  <c r="E457" i="3"/>
  <c r="E458" i="3"/>
  <c r="E459" i="3"/>
  <c r="E460" i="3"/>
  <c r="E453" i="3"/>
  <c r="G432" i="3"/>
  <c r="E432" i="3"/>
  <c r="G431" i="3"/>
  <c r="E431" i="3"/>
  <c r="C363" i="3"/>
  <c r="F363" i="3"/>
  <c r="D363" i="3"/>
  <c r="G400" i="3"/>
  <c r="E400" i="3"/>
  <c r="G399" i="3"/>
  <c r="E399" i="3"/>
  <c r="G398" i="3"/>
  <c r="E398" i="3"/>
  <c r="E366" i="3"/>
  <c r="G366" i="3"/>
  <c r="E367" i="3"/>
  <c r="G367" i="3"/>
  <c r="E368" i="3"/>
  <c r="G368" i="3"/>
  <c r="E369" i="3"/>
  <c r="G369" i="3"/>
  <c r="E372" i="3"/>
  <c r="G372" i="3"/>
  <c r="E373" i="3"/>
  <c r="G373" i="3"/>
  <c r="E374" i="3"/>
  <c r="G374" i="3"/>
  <c r="E375" i="3"/>
  <c r="G375" i="3"/>
  <c r="E376" i="3"/>
  <c r="G376" i="3"/>
  <c r="E379" i="3"/>
  <c r="G379" i="3"/>
  <c r="E380" i="3"/>
  <c r="G380" i="3"/>
  <c r="E381" i="3"/>
  <c r="G381" i="3"/>
  <c r="E382" i="3"/>
  <c r="G382" i="3"/>
  <c r="E383" i="3"/>
  <c r="G383" i="3"/>
  <c r="E386" i="3"/>
  <c r="G386" i="3"/>
  <c r="E387" i="3"/>
  <c r="G387" i="3"/>
  <c r="E388" i="3"/>
  <c r="G388" i="3"/>
  <c r="G390" i="3"/>
  <c r="E390" i="3"/>
  <c r="G389" i="3"/>
  <c r="E389" i="3"/>
  <c r="G365" i="3"/>
  <c r="E365" i="3"/>
  <c r="F330" i="3"/>
  <c r="D330" i="3"/>
  <c r="C330" i="3"/>
  <c r="G357" i="3"/>
  <c r="G358" i="3"/>
  <c r="E357" i="3"/>
  <c r="E358" i="3"/>
  <c r="C297" i="3"/>
  <c r="D297" i="3"/>
  <c r="F297" i="3"/>
  <c r="G336" i="3"/>
  <c r="G337" i="3"/>
  <c r="G338" i="3"/>
  <c r="G339" i="3"/>
  <c r="G342" i="3"/>
  <c r="G343" i="3"/>
  <c r="G344" i="3"/>
  <c r="G345" i="3"/>
  <c r="G346" i="3"/>
  <c r="G349" i="3"/>
  <c r="G350" i="3"/>
  <c r="G351" i="3"/>
  <c r="G352" i="3"/>
  <c r="G353" i="3"/>
  <c r="E336" i="3"/>
  <c r="E337" i="3"/>
  <c r="E338" i="3"/>
  <c r="E339" i="3"/>
  <c r="E342" i="3"/>
  <c r="E343" i="3"/>
  <c r="E344" i="3"/>
  <c r="E345" i="3"/>
  <c r="E346" i="3"/>
  <c r="E349" i="3"/>
  <c r="E350" i="3"/>
  <c r="E351" i="3"/>
  <c r="E352" i="3"/>
  <c r="E353" i="3"/>
  <c r="G361" i="3"/>
  <c r="E361" i="3"/>
  <c r="G360" i="3"/>
  <c r="E360" i="3"/>
  <c r="G359" i="3"/>
  <c r="E359" i="3"/>
  <c r="G356" i="3"/>
  <c r="E356" i="3"/>
  <c r="G335" i="3"/>
  <c r="E335" i="3"/>
  <c r="G332" i="3"/>
  <c r="E332" i="3"/>
  <c r="G331" i="3"/>
  <c r="E331" i="3"/>
  <c r="E462" i="3" l="1"/>
  <c r="G462" i="3"/>
  <c r="N462" i="3" s="1"/>
  <c r="M462" i="3"/>
  <c r="J330" i="3"/>
  <c r="J429" i="3"/>
  <c r="I429" i="3"/>
  <c r="G429" i="3"/>
  <c r="N429" i="3" s="1"/>
  <c r="E429" i="3"/>
  <c r="M429" i="3" s="1"/>
  <c r="G396" i="3"/>
  <c r="N396" i="3" s="1"/>
  <c r="E396" i="3"/>
  <c r="M396" i="3" s="1"/>
  <c r="J363" i="3"/>
  <c r="J396" i="3"/>
  <c r="E363" i="3"/>
  <c r="M363" i="3" s="1"/>
  <c r="G363" i="3"/>
  <c r="N363" i="3" s="1"/>
  <c r="G330" i="3"/>
  <c r="E330" i="3"/>
  <c r="I396" i="3"/>
  <c r="I363" i="3"/>
  <c r="I330" i="3"/>
  <c r="G306" i="3"/>
  <c r="E306" i="3"/>
  <c r="E316" i="3"/>
  <c r="G316" i="3"/>
  <c r="E319" i="3"/>
  <c r="G319" i="3"/>
  <c r="E320" i="3"/>
  <c r="G320" i="3"/>
  <c r="E321" i="3"/>
  <c r="G321" i="3"/>
  <c r="E326" i="3"/>
  <c r="G326" i="3"/>
  <c r="E327" i="3"/>
  <c r="G327" i="3"/>
  <c r="E328" i="3"/>
  <c r="G328" i="3"/>
  <c r="E312" i="3"/>
  <c r="G312" i="3"/>
  <c r="E313" i="3"/>
  <c r="G313" i="3"/>
  <c r="E314" i="3"/>
  <c r="G314" i="3"/>
  <c r="E305" i="3"/>
  <c r="G305" i="3"/>
  <c r="E298" i="3"/>
  <c r="G298" i="3"/>
  <c r="E299" i="3"/>
  <c r="G299" i="3"/>
  <c r="G315" i="3"/>
  <c r="E315" i="3"/>
  <c r="G309" i="3"/>
  <c r="E309" i="3"/>
  <c r="G308" i="3"/>
  <c r="E308" i="3"/>
  <c r="G307" i="3"/>
  <c r="E307" i="3"/>
  <c r="G302" i="3"/>
  <c r="E302" i="3"/>
  <c r="G301" i="3"/>
  <c r="E301" i="3"/>
  <c r="G300" i="3"/>
  <c r="E300" i="3"/>
  <c r="C265" i="3"/>
  <c r="F265" i="3"/>
  <c r="D265" i="3"/>
  <c r="G269" i="3"/>
  <c r="G270" i="3"/>
  <c r="G271" i="3"/>
  <c r="G272" i="3"/>
  <c r="G275" i="3"/>
  <c r="G276" i="3"/>
  <c r="G277" i="3"/>
  <c r="G278" i="3"/>
  <c r="G279" i="3"/>
  <c r="G282" i="3"/>
  <c r="G283" i="3"/>
  <c r="G284" i="3"/>
  <c r="G285" i="3"/>
  <c r="G286" i="3"/>
  <c r="G289" i="3"/>
  <c r="G290" i="3"/>
  <c r="G291" i="3"/>
  <c r="G292" i="3"/>
  <c r="G293" i="3"/>
  <c r="G268" i="3"/>
  <c r="E269" i="3"/>
  <c r="E270" i="3"/>
  <c r="E271" i="3"/>
  <c r="E272" i="3"/>
  <c r="E275" i="3"/>
  <c r="E276" i="3"/>
  <c r="E277" i="3"/>
  <c r="E278" i="3"/>
  <c r="E279" i="3"/>
  <c r="E282" i="3"/>
  <c r="E283" i="3"/>
  <c r="E284" i="3"/>
  <c r="E285" i="3"/>
  <c r="E286" i="3"/>
  <c r="E289" i="3"/>
  <c r="E290" i="3"/>
  <c r="E291" i="3"/>
  <c r="E292" i="3"/>
  <c r="E293" i="3"/>
  <c r="E268" i="3"/>
  <c r="C232" i="3"/>
  <c r="F232" i="3"/>
  <c r="D232" i="3"/>
  <c r="J232" i="3" l="1"/>
  <c r="G297" i="3"/>
  <c r="E297" i="3"/>
  <c r="G265" i="3"/>
  <c r="E265" i="3"/>
  <c r="J297" i="3"/>
  <c r="I297" i="3"/>
  <c r="J265" i="3"/>
  <c r="I265" i="3"/>
  <c r="E250" i="3"/>
  <c r="G250" i="3"/>
  <c r="G263" i="3"/>
  <c r="E263" i="3"/>
  <c r="E256" i="3"/>
  <c r="G256" i="3"/>
  <c r="E249" i="3"/>
  <c r="G249" i="3"/>
  <c r="E242" i="3"/>
  <c r="G242" i="3"/>
  <c r="G235" i="3"/>
  <c r="E235" i="3"/>
  <c r="E238" i="3"/>
  <c r="G238" i="3"/>
  <c r="E239" i="3"/>
  <c r="G239" i="3"/>
  <c r="E240" i="3"/>
  <c r="G240" i="3"/>
  <c r="E241" i="3"/>
  <c r="G241" i="3"/>
  <c r="E245" i="3"/>
  <c r="G245" i="3"/>
  <c r="E246" i="3"/>
  <c r="G246" i="3"/>
  <c r="E247" i="3"/>
  <c r="G247" i="3"/>
  <c r="E248" i="3"/>
  <c r="G248" i="3"/>
  <c r="E252" i="3"/>
  <c r="G252" i="3"/>
  <c r="E253" i="3"/>
  <c r="G253" i="3"/>
  <c r="E254" i="3"/>
  <c r="G254" i="3"/>
  <c r="E255" i="3"/>
  <c r="G255" i="3"/>
  <c r="E259" i="3"/>
  <c r="G259" i="3"/>
  <c r="E260" i="3"/>
  <c r="G260" i="3"/>
  <c r="E261" i="3"/>
  <c r="G261" i="3"/>
  <c r="G262" i="3"/>
  <c r="E262" i="3"/>
  <c r="G234" i="3"/>
  <c r="E234" i="3"/>
  <c r="G233" i="3"/>
  <c r="E233" i="3"/>
  <c r="F199" i="3"/>
  <c r="D199" i="3"/>
  <c r="C199" i="3"/>
  <c r="G229" i="3"/>
  <c r="E228" i="3"/>
  <c r="E229" i="3"/>
  <c r="G221" i="3"/>
  <c r="G222" i="3"/>
  <c r="G223" i="3"/>
  <c r="G224" i="3"/>
  <c r="G225" i="3"/>
  <c r="G228" i="3"/>
  <c r="E221" i="3"/>
  <c r="E222" i="3"/>
  <c r="E223" i="3"/>
  <c r="E224" i="3"/>
  <c r="E225" i="3"/>
  <c r="E208" i="3"/>
  <c r="E209" i="3"/>
  <c r="E210" i="3"/>
  <c r="E211" i="3"/>
  <c r="E214" i="3"/>
  <c r="E215" i="3"/>
  <c r="E216" i="3"/>
  <c r="E217" i="3"/>
  <c r="E218" i="3"/>
  <c r="E207" i="3"/>
  <c r="G215" i="3"/>
  <c r="G216" i="3"/>
  <c r="G217" i="3"/>
  <c r="G218" i="3"/>
  <c r="G214" i="3"/>
  <c r="G208" i="3"/>
  <c r="G209" i="3"/>
  <c r="G210" i="3"/>
  <c r="G211" i="3"/>
  <c r="G207" i="3"/>
  <c r="E204" i="3"/>
  <c r="G204" i="3"/>
  <c r="G202" i="3"/>
  <c r="G203" i="3"/>
  <c r="E202" i="3"/>
  <c r="E203" i="3"/>
  <c r="G201" i="3"/>
  <c r="G200" i="3"/>
  <c r="E201" i="3"/>
  <c r="E200" i="3"/>
  <c r="F166" i="3"/>
  <c r="D166" i="3"/>
  <c r="C166" i="3"/>
  <c r="E196" i="3"/>
  <c r="G196" i="3"/>
  <c r="G184" i="3"/>
  <c r="E184" i="3"/>
  <c r="F133" i="3"/>
  <c r="D133" i="3"/>
  <c r="G170" i="3"/>
  <c r="G171" i="3"/>
  <c r="G172" i="3"/>
  <c r="G173" i="3"/>
  <c r="G174" i="3"/>
  <c r="G177" i="3"/>
  <c r="G178" i="3"/>
  <c r="G179" i="3"/>
  <c r="G180" i="3"/>
  <c r="G181" i="3"/>
  <c r="G185" i="3"/>
  <c r="G186" i="3"/>
  <c r="G187" i="3"/>
  <c r="G188" i="3"/>
  <c r="G191" i="3"/>
  <c r="G192" i="3"/>
  <c r="G193" i="3"/>
  <c r="G194" i="3"/>
  <c r="G195" i="3"/>
  <c r="E170" i="3"/>
  <c r="E171" i="3"/>
  <c r="E172" i="3"/>
  <c r="E173" i="3"/>
  <c r="E174" i="3"/>
  <c r="E177" i="3"/>
  <c r="E178" i="3"/>
  <c r="E179" i="3"/>
  <c r="E180" i="3"/>
  <c r="E181" i="3"/>
  <c r="E185" i="3"/>
  <c r="E186" i="3"/>
  <c r="E187" i="3"/>
  <c r="E188" i="3"/>
  <c r="E191" i="3"/>
  <c r="E192" i="3"/>
  <c r="E193" i="3"/>
  <c r="E194" i="3"/>
  <c r="E195" i="3"/>
  <c r="G167" i="3"/>
  <c r="E167" i="3"/>
  <c r="G161" i="3"/>
  <c r="E161" i="3"/>
  <c r="E12" i="4"/>
  <c r="E14" i="4"/>
  <c r="E10" i="4"/>
  <c r="E8" i="4"/>
  <c r="E6" i="4"/>
  <c r="C137" i="3"/>
  <c r="E137" i="3" s="1"/>
  <c r="C136" i="3"/>
  <c r="G136" i="3" s="1"/>
  <c r="G163" i="3"/>
  <c r="G164" i="3"/>
  <c r="E163" i="3"/>
  <c r="E164" i="3"/>
  <c r="G105" i="3"/>
  <c r="G106" i="3"/>
  <c r="G107" i="3"/>
  <c r="G110" i="3"/>
  <c r="G111" i="3"/>
  <c r="G112" i="3"/>
  <c r="G113" i="3"/>
  <c r="G114" i="3"/>
  <c r="G117" i="3"/>
  <c r="G118" i="3"/>
  <c r="G119" i="3"/>
  <c r="G120" i="3"/>
  <c r="G121" i="3"/>
  <c r="G124" i="3"/>
  <c r="G125" i="3"/>
  <c r="G126" i="3"/>
  <c r="G127" i="3"/>
  <c r="G128" i="3"/>
  <c r="G131" i="3"/>
  <c r="G104" i="3"/>
  <c r="G103" i="3"/>
  <c r="E104" i="3"/>
  <c r="E105" i="3"/>
  <c r="E106" i="3"/>
  <c r="E107" i="3"/>
  <c r="E110" i="3"/>
  <c r="E111" i="3"/>
  <c r="E112" i="3"/>
  <c r="E113" i="3"/>
  <c r="E114" i="3"/>
  <c r="E117" i="3"/>
  <c r="E118" i="3"/>
  <c r="E119" i="3"/>
  <c r="E120" i="3"/>
  <c r="E121" i="3"/>
  <c r="E124" i="3"/>
  <c r="E125" i="3"/>
  <c r="E126" i="3"/>
  <c r="E127" i="3"/>
  <c r="E128" i="3"/>
  <c r="E131" i="3"/>
  <c r="E103" i="3"/>
  <c r="G137" i="3"/>
  <c r="G140" i="3"/>
  <c r="G141" i="3"/>
  <c r="G142" i="3"/>
  <c r="G143" i="3"/>
  <c r="G144" i="3"/>
  <c r="G147" i="3"/>
  <c r="G148" i="3"/>
  <c r="G149" i="3"/>
  <c r="G150" i="3"/>
  <c r="G151" i="3"/>
  <c r="G154" i="3"/>
  <c r="G155" i="3"/>
  <c r="G156" i="3"/>
  <c r="G157" i="3"/>
  <c r="G158" i="3"/>
  <c r="G162" i="3"/>
  <c r="G135" i="3"/>
  <c r="G134" i="3"/>
  <c r="E140" i="3"/>
  <c r="E141" i="3"/>
  <c r="E142" i="3"/>
  <c r="E143" i="3"/>
  <c r="E144" i="3"/>
  <c r="E147" i="3"/>
  <c r="E148" i="3"/>
  <c r="E149" i="3"/>
  <c r="E150" i="3"/>
  <c r="E151" i="3"/>
  <c r="E154" i="3"/>
  <c r="E155" i="3"/>
  <c r="E156" i="3"/>
  <c r="E157" i="3"/>
  <c r="E158" i="3"/>
  <c r="E162" i="3"/>
  <c r="E136" i="3"/>
  <c r="E135" i="3"/>
  <c r="E134" i="3"/>
  <c r="C102" i="3"/>
  <c r="D102" i="3"/>
  <c r="F102" i="3"/>
  <c r="J199" i="3" l="1"/>
  <c r="C133" i="3"/>
  <c r="I133" i="3" s="1"/>
  <c r="E232" i="3"/>
  <c r="G232" i="3"/>
  <c r="E199" i="3"/>
  <c r="G199" i="3"/>
  <c r="I232" i="3"/>
  <c r="L232" i="3"/>
  <c r="I199" i="3"/>
  <c r="L166" i="3"/>
  <c r="E166" i="3"/>
  <c r="L199" i="3"/>
  <c r="G166" i="3"/>
  <c r="L133" i="3"/>
  <c r="E133" i="3"/>
  <c r="G133" i="3"/>
  <c r="J166" i="3"/>
  <c r="I166" i="3"/>
  <c r="C69" i="3"/>
  <c r="F69" i="3"/>
  <c r="G95" i="3"/>
  <c r="G96" i="3"/>
  <c r="G97" i="3"/>
  <c r="E95" i="3"/>
  <c r="E96" i="3"/>
  <c r="E97" i="3"/>
  <c r="J89" i="3"/>
  <c r="K82" i="3"/>
  <c r="J133" i="3" l="1"/>
  <c r="E102" i="3"/>
  <c r="G102" i="3"/>
  <c r="I102" i="3"/>
  <c r="J102" i="3"/>
  <c r="G88" i="3"/>
  <c r="G89" i="3"/>
  <c r="E88" i="3"/>
  <c r="E89" i="3"/>
  <c r="G81" i="3"/>
  <c r="G82" i="3"/>
  <c r="E81" i="3"/>
  <c r="E82" i="3"/>
  <c r="F37" i="3"/>
  <c r="C37" i="3"/>
  <c r="G67" i="3"/>
  <c r="E67" i="3"/>
  <c r="G74" i="3"/>
  <c r="G75" i="3"/>
  <c r="E74" i="3"/>
  <c r="E75" i="3"/>
  <c r="G99" i="3"/>
  <c r="E99" i="3"/>
  <c r="G98" i="3"/>
  <c r="E98" i="3"/>
  <c r="G92" i="3"/>
  <c r="E92" i="3"/>
  <c r="G91" i="3"/>
  <c r="E91" i="3"/>
  <c r="G90" i="3"/>
  <c r="E90" i="3"/>
  <c r="G85" i="3"/>
  <c r="E85" i="3"/>
  <c r="G84" i="3"/>
  <c r="E84" i="3"/>
  <c r="G83" i="3"/>
  <c r="E83" i="3"/>
  <c r="G78" i="3"/>
  <c r="E78" i="3"/>
  <c r="G77" i="3"/>
  <c r="E77" i="3"/>
  <c r="G76" i="3"/>
  <c r="E76" i="3"/>
  <c r="G71" i="3"/>
  <c r="E71" i="3"/>
  <c r="G70" i="3"/>
  <c r="E70" i="3"/>
  <c r="G65" i="3"/>
  <c r="G66" i="3"/>
  <c r="E65" i="3"/>
  <c r="E66" i="3"/>
  <c r="E58" i="3"/>
  <c r="G58" i="3"/>
  <c r="G59" i="3"/>
  <c r="G60" i="3"/>
  <c r="G61" i="3"/>
  <c r="G62" i="3"/>
  <c r="E59" i="3"/>
  <c r="E60" i="3"/>
  <c r="E61" i="3"/>
  <c r="E62" i="3"/>
  <c r="G51" i="3"/>
  <c r="G52" i="3"/>
  <c r="G53" i="3"/>
  <c r="G54" i="3"/>
  <c r="G55" i="3"/>
  <c r="E51" i="3"/>
  <c r="E52" i="3"/>
  <c r="E53" i="3"/>
  <c r="E54" i="3"/>
  <c r="E55" i="3"/>
  <c r="E48" i="3"/>
  <c r="G48" i="3"/>
  <c r="J2" i="3"/>
  <c r="J3" i="3"/>
  <c r="I2" i="3"/>
  <c r="E7" i="3"/>
  <c r="E8" i="3"/>
  <c r="E9" i="3"/>
  <c r="E10" i="3"/>
  <c r="E11" i="3"/>
  <c r="E14" i="3"/>
  <c r="E15" i="3"/>
  <c r="E16" i="3"/>
  <c r="E17" i="3"/>
  <c r="E18" i="3"/>
  <c r="E21" i="3"/>
  <c r="E22" i="3"/>
  <c r="E23" i="3"/>
  <c r="E24" i="3"/>
  <c r="E25" i="3"/>
  <c r="E28" i="3"/>
  <c r="E29" i="3"/>
  <c r="E30" i="3"/>
  <c r="C4" i="3"/>
  <c r="J4" i="3" s="1"/>
  <c r="G44" i="3"/>
  <c r="G45" i="3"/>
  <c r="G46" i="3"/>
  <c r="G47" i="3"/>
  <c r="G39" i="3"/>
  <c r="G40" i="3"/>
  <c r="G41" i="3"/>
  <c r="G38" i="3"/>
  <c r="E45" i="3"/>
  <c r="E46" i="3"/>
  <c r="E47" i="3"/>
  <c r="E44" i="3"/>
  <c r="E35" i="3"/>
  <c r="E39" i="3"/>
  <c r="E40" i="3"/>
  <c r="E41" i="3"/>
  <c r="E38" i="3"/>
  <c r="G32" i="3"/>
  <c r="G31" i="3"/>
  <c r="E32" i="3"/>
  <c r="E31" i="3"/>
  <c r="D4" i="3"/>
  <c r="G69" i="3" l="1"/>
  <c r="E69" i="3"/>
  <c r="I69" i="3"/>
  <c r="G37" i="3"/>
  <c r="J69" i="3"/>
  <c r="E37" i="3"/>
  <c r="J37" i="3"/>
  <c r="I37" i="3"/>
  <c r="E4" i="3"/>
  <c r="I4" i="3"/>
</calcChain>
</file>

<file path=xl/sharedStrings.xml><?xml version="1.0" encoding="utf-8"?>
<sst xmlns="http://schemas.openxmlformats.org/spreadsheetml/2006/main" count="104" uniqueCount="83">
  <si>
    <t>МЕТАЛЛЫ</t>
  </si>
  <si>
    <t>ПРОЧЕЕ</t>
  </si>
  <si>
    <t>СРОКИ ПОСТАВКИ</t>
  </si>
  <si>
    <t>лист алюминиевый А5 7 мм</t>
  </si>
  <si>
    <t>было</t>
  </si>
  <si>
    <t>стало</t>
  </si>
  <si>
    <t>1,5 месяца</t>
  </si>
  <si>
    <t>1 неделя</t>
  </si>
  <si>
    <t>изоляционные ленты</t>
  </si>
  <si>
    <t>БК АЛПРОФ</t>
  </si>
  <si>
    <t>переговоры + изменение цен</t>
  </si>
  <si>
    <t>Эксперт Кабель</t>
  </si>
  <si>
    <t>МТХ</t>
  </si>
  <si>
    <t xml:space="preserve">пластина , профиль </t>
  </si>
  <si>
    <t>переговоры ( Машинери )</t>
  </si>
  <si>
    <t>18 дней</t>
  </si>
  <si>
    <t>9 дней</t>
  </si>
  <si>
    <t>проволока сварная алюм</t>
  </si>
  <si>
    <t xml:space="preserve">примечание </t>
  </si>
  <si>
    <t>2400 / 2000</t>
  </si>
  <si>
    <t>могли бы  больше, но слили цены эксперта</t>
  </si>
  <si>
    <r>
      <t xml:space="preserve">производительс НДС  ( поставщик </t>
    </r>
    <r>
      <rPr>
        <b/>
        <sz val="11"/>
        <color theme="1"/>
        <rFont val="Calibri"/>
        <family val="2"/>
        <charset val="204"/>
        <scheme val="minor"/>
      </rPr>
      <t>БЕЗ</t>
    </r>
    <r>
      <rPr>
        <sz val="11"/>
        <color theme="1"/>
        <rFont val="Calibri"/>
        <family val="2"/>
        <charset val="204"/>
        <scheme val="minor"/>
      </rPr>
      <t xml:space="preserve"> НДС ) 
в работе : Павел Банников прорабатывает с производителем возможные  сплавы:  АМг5,  АМг4,5 и АК5 производство в г.Видное МО</t>
    </r>
  </si>
  <si>
    <t>лист медный</t>
  </si>
  <si>
    <t>цена договорная с тем чтобы покупать пруток М1</t>
  </si>
  <si>
    <t>дата</t>
  </si>
  <si>
    <t>медь</t>
  </si>
  <si>
    <t>алюм</t>
  </si>
  <si>
    <t>валюта</t>
  </si>
  <si>
    <t>сумма</t>
  </si>
  <si>
    <t>АПРЕЛЬ</t>
  </si>
  <si>
    <t>МАРТ</t>
  </si>
  <si>
    <t>ФЕВРАЛЬ</t>
  </si>
  <si>
    <t>№ п/п</t>
  </si>
  <si>
    <t>ТМЦ  для RIVETEC RL 50 и 40</t>
  </si>
  <si>
    <t>альтернативный поставщик ( указана сумма счета )</t>
  </si>
  <si>
    <t>МАЙ</t>
  </si>
  <si>
    <t xml:space="preserve"> Эксперт / МТХ</t>
  </si>
  <si>
    <t>понимание ситуации - уверенный блеф</t>
  </si>
  <si>
    <t xml:space="preserve">новый поставщик ( потенциально весь спектр) </t>
  </si>
  <si>
    <t>Окошки</t>
  </si>
  <si>
    <t>альтернативная схема с Китаем</t>
  </si>
  <si>
    <t>поставщик Альфа-Металл: срок и цена на 80руб</t>
  </si>
  <si>
    <t>ИЮНЬ</t>
  </si>
  <si>
    <t>ИЮЛЬ</t>
  </si>
  <si>
    <t>Очень приблизительная формула для расчета стоимости профиля из первичного алюминия (РусАл)</t>
  </si>
  <si>
    <t>наименование производителя</t>
  </si>
  <si>
    <t>наименование изделия</t>
  </si>
  <si>
    <t>шина</t>
  </si>
  <si>
    <t>чертежный профиль</t>
  </si>
  <si>
    <t>Жигулевский ЭТМ</t>
  </si>
  <si>
    <t>ПРИМА</t>
  </si>
  <si>
    <r>
      <t xml:space="preserve">формула цены </t>
    </r>
    <r>
      <rPr>
        <b/>
        <sz val="11"/>
        <color theme="1"/>
        <rFont val="Calibri"/>
        <family val="2"/>
        <charset val="204"/>
        <scheme val="minor"/>
      </rPr>
      <t>без НДС</t>
    </r>
  </si>
  <si>
    <t>АКРОН ( НМТ )</t>
  </si>
  <si>
    <t>ЭКСПЕРТ</t>
  </si>
  <si>
    <t>не дают</t>
  </si>
  <si>
    <r>
      <t>( цена слитка РУСАЛ $</t>
    </r>
    <r>
      <rPr>
        <b/>
        <sz val="12"/>
        <color theme="1"/>
        <rFont val="Calibri"/>
        <family val="2"/>
        <charset val="204"/>
        <scheme val="minor"/>
      </rPr>
      <t xml:space="preserve"> *</t>
    </r>
    <r>
      <rPr>
        <sz val="12"/>
        <color theme="1"/>
        <rFont val="Calibri"/>
        <family val="2"/>
        <charset val="204"/>
        <scheme val="minor"/>
      </rPr>
      <t xml:space="preserve"> </t>
    </r>
    <r>
      <rPr>
        <b/>
        <sz val="12"/>
        <color theme="1"/>
        <rFont val="Calibri"/>
        <family val="2"/>
        <charset val="204"/>
        <scheme val="minor"/>
      </rPr>
      <t>$</t>
    </r>
    <r>
      <rPr>
        <sz val="12"/>
        <color theme="1"/>
        <rFont val="Calibri"/>
        <family val="2"/>
        <charset val="204"/>
        <scheme val="minor"/>
      </rPr>
      <t xml:space="preserve"> на 1 число месяца размещения ) + </t>
    </r>
    <r>
      <rPr>
        <b/>
        <sz val="12"/>
        <color theme="1"/>
        <rFont val="Calibri"/>
        <family val="2"/>
        <charset val="204"/>
        <scheme val="minor"/>
      </rPr>
      <t>75</t>
    </r>
    <r>
      <rPr>
        <sz val="12"/>
        <color theme="1"/>
        <rFont val="Calibri"/>
        <family val="2"/>
        <charset val="204"/>
        <scheme val="minor"/>
      </rPr>
      <t>000 руб</t>
    </r>
  </si>
  <si>
    <r>
      <t xml:space="preserve">( цена слитка РУСАЛ $ </t>
    </r>
    <r>
      <rPr>
        <b/>
        <sz val="12"/>
        <color theme="1"/>
        <rFont val="Calibri"/>
        <family val="2"/>
        <charset val="204"/>
        <scheme val="minor"/>
      </rPr>
      <t>* $</t>
    </r>
    <r>
      <rPr>
        <sz val="12"/>
        <color theme="1"/>
        <rFont val="Calibri"/>
        <family val="2"/>
        <charset val="204"/>
        <scheme val="minor"/>
      </rPr>
      <t xml:space="preserve"> на 1 число месяца размещения ) + </t>
    </r>
    <r>
      <rPr>
        <b/>
        <sz val="12"/>
        <color theme="1"/>
        <rFont val="Calibri"/>
        <family val="2"/>
        <charset val="204"/>
        <scheme val="minor"/>
      </rPr>
      <t>80</t>
    </r>
    <r>
      <rPr>
        <sz val="12"/>
        <color theme="1"/>
        <rFont val="Calibri"/>
        <family val="2"/>
        <charset val="204"/>
        <scheme val="minor"/>
      </rPr>
      <t>000 руб</t>
    </r>
  </si>
  <si>
    <r>
      <t xml:space="preserve">М1 : ( ср.10 дн. LME + 500 ) </t>
    </r>
    <r>
      <rPr>
        <b/>
        <sz val="12"/>
        <color theme="1"/>
        <rFont val="Calibri"/>
        <family val="2"/>
        <charset val="204"/>
        <scheme val="minor"/>
      </rPr>
      <t>*</t>
    </r>
    <r>
      <rPr>
        <sz val="12"/>
        <color theme="1"/>
        <rFont val="Calibri"/>
        <family val="2"/>
        <charset val="204"/>
        <scheme val="minor"/>
      </rPr>
      <t xml:space="preserve"> ср.10дн. </t>
    </r>
    <r>
      <rPr>
        <b/>
        <sz val="12"/>
        <color theme="1"/>
        <rFont val="Calibri"/>
        <family val="2"/>
        <charset val="204"/>
        <scheme val="minor"/>
      </rPr>
      <t>$</t>
    </r>
  </si>
  <si>
    <r>
      <t xml:space="preserve">М0 : ( ср.10 дн. LME + 750 ) </t>
    </r>
    <r>
      <rPr>
        <b/>
        <sz val="12"/>
        <color theme="1"/>
        <rFont val="Calibri"/>
        <family val="2"/>
        <charset val="204"/>
        <scheme val="minor"/>
      </rPr>
      <t>*</t>
    </r>
    <r>
      <rPr>
        <sz val="12"/>
        <color theme="1"/>
        <rFont val="Calibri"/>
        <family val="2"/>
        <charset val="204"/>
        <scheme val="minor"/>
      </rPr>
      <t xml:space="preserve"> ср.10дн. </t>
    </r>
    <r>
      <rPr>
        <b/>
        <sz val="12"/>
        <color theme="1"/>
        <rFont val="Calibri"/>
        <family val="2"/>
        <charset val="204"/>
        <scheme val="minor"/>
      </rPr>
      <t>$</t>
    </r>
  </si>
  <si>
    <r>
      <t xml:space="preserve">(( ср.мес. LME$ + 270$ ) /1000/годн.K 0,95)*ср.курс $ + </t>
    </r>
    <r>
      <rPr>
        <b/>
        <sz val="12"/>
        <color theme="1"/>
        <rFont val="Calibri"/>
        <family val="2"/>
        <charset val="204"/>
        <scheme val="minor"/>
      </rPr>
      <t>100000</t>
    </r>
  </si>
  <si>
    <r>
      <t xml:space="preserve">(( ср.мес. LME$ + 270$ ) /1000/годн.K 0,95)*ср.курс $ + </t>
    </r>
    <r>
      <rPr>
        <b/>
        <sz val="12"/>
        <color theme="1"/>
        <rFont val="Calibri"/>
        <family val="2"/>
        <charset val="204"/>
        <scheme val="minor"/>
      </rPr>
      <t>130000</t>
    </r>
  </si>
  <si>
    <t>цена нестандарт</t>
  </si>
  <si>
    <t>20тн+</t>
  </si>
  <si>
    <t>примечание</t>
  </si>
  <si>
    <t>-</t>
  </si>
  <si>
    <t>цена на сегодня с НДС</t>
  </si>
  <si>
    <t>КМК</t>
  </si>
  <si>
    <r>
      <t>( цена слитка РУСАЛ $</t>
    </r>
    <r>
      <rPr>
        <b/>
        <sz val="12"/>
        <color theme="1"/>
        <rFont val="Calibri"/>
        <family val="2"/>
        <charset val="204"/>
        <scheme val="minor"/>
      </rPr>
      <t xml:space="preserve"> *</t>
    </r>
    <r>
      <rPr>
        <sz val="12"/>
        <color theme="1"/>
        <rFont val="Calibri"/>
        <family val="2"/>
        <charset val="204"/>
        <scheme val="minor"/>
      </rPr>
      <t xml:space="preserve"> </t>
    </r>
    <r>
      <rPr>
        <b/>
        <sz val="12"/>
        <color theme="1"/>
        <rFont val="Calibri"/>
        <family val="2"/>
        <charset val="204"/>
        <scheme val="minor"/>
      </rPr>
      <t>$</t>
    </r>
    <r>
      <rPr>
        <sz val="12"/>
        <color theme="1"/>
        <rFont val="Calibri"/>
        <family val="2"/>
        <charset val="204"/>
        <scheme val="minor"/>
      </rPr>
      <t xml:space="preserve"> на 1 число месяца размещения ) + </t>
    </r>
    <r>
      <rPr>
        <b/>
        <sz val="12"/>
        <color theme="1"/>
        <rFont val="Calibri"/>
        <family val="2"/>
        <charset val="204"/>
        <scheme val="minor"/>
      </rPr>
      <t>40</t>
    </r>
    <r>
      <rPr>
        <sz val="12"/>
        <color theme="1"/>
        <rFont val="Calibri"/>
        <family val="2"/>
        <charset val="204"/>
        <scheme val="minor"/>
      </rPr>
      <t>000 руб</t>
    </r>
  </si>
  <si>
    <r>
      <t>( цена слитка РУСАЛ $</t>
    </r>
    <r>
      <rPr>
        <b/>
        <sz val="12"/>
        <color theme="1"/>
        <rFont val="Calibri"/>
        <family val="2"/>
        <charset val="204"/>
        <scheme val="minor"/>
      </rPr>
      <t xml:space="preserve"> *</t>
    </r>
    <r>
      <rPr>
        <sz val="12"/>
        <color theme="1"/>
        <rFont val="Calibri"/>
        <family val="2"/>
        <charset val="204"/>
        <scheme val="minor"/>
      </rPr>
      <t xml:space="preserve"> </t>
    </r>
    <r>
      <rPr>
        <b/>
        <sz val="12"/>
        <color theme="1"/>
        <rFont val="Calibri"/>
        <family val="2"/>
        <charset val="204"/>
        <scheme val="minor"/>
      </rPr>
      <t>$</t>
    </r>
    <r>
      <rPr>
        <sz val="12"/>
        <color theme="1"/>
        <rFont val="Calibri"/>
        <family val="2"/>
        <charset val="204"/>
        <scheme val="minor"/>
      </rPr>
      <t xml:space="preserve"> на 1 число месяца размещения ) + </t>
    </r>
    <r>
      <rPr>
        <b/>
        <sz val="12"/>
        <color theme="1"/>
        <rFont val="Calibri"/>
        <family val="2"/>
        <charset val="204"/>
        <scheme val="minor"/>
      </rPr>
      <t>55</t>
    </r>
    <r>
      <rPr>
        <sz val="12"/>
        <color theme="1"/>
        <rFont val="Calibri"/>
        <family val="2"/>
        <charset val="204"/>
        <scheme val="minor"/>
      </rPr>
      <t>000 руб</t>
    </r>
  </si>
  <si>
    <t>АВГУСТ</t>
  </si>
  <si>
    <t>25,07,25</t>
  </si>
  <si>
    <t>СЕНТЯБРЬ</t>
  </si>
  <si>
    <t>ОКТЯБРЬ</t>
  </si>
  <si>
    <t>НОЯБРЬ</t>
  </si>
  <si>
    <t>ДЕКАБРЬ</t>
  </si>
  <si>
    <t>ФЕВРАРЬ</t>
  </si>
  <si>
    <t>1270 фосфохим</t>
  </si>
  <si>
    <t xml:space="preserve">	73,1275</t>
  </si>
  <si>
    <t>формула
реалий</t>
  </si>
  <si>
    <t>цена сырья 
с НДС на бирже</t>
  </si>
  <si>
    <t>алюм цена расчетная</t>
  </si>
  <si>
    <t xml:space="preserve">медь цена  расчетная </t>
  </si>
  <si>
    <t>алюм цена закупки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</si>
</sst>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_ ;[Red]\-#,##0.00\ "/>
    <numFmt numFmtId="165" formatCode="#,##0.0000_ ;[Red]\-#,##0.0000\ "/>
    <numFmt numFmtId="166" formatCode="#,##0_ ;[Red]\-#,##0\ "/>
    <numFmt numFmtId="167" formatCode="#,##0.0"/>
  </numFmts>
  <fonts count="1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i/>
      <sz val="14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color rgb="FF2B2E33"/>
      <name val="Arial"/>
      <family val="2"/>
      <charset val="204"/>
    </font>
    <font>
      <sz val="9"/>
      <color rgb="FF2B2E33"/>
      <name val="Arial"/>
      <family val="2"/>
      <charset val="204"/>
    </font>
    <font>
      <sz val="12"/>
      <name val="Calibri"/>
      <family val="2"/>
      <charset val="204"/>
      <scheme val="minor"/>
    </font>
    <font>
      <sz val="12"/>
      <color rgb="FF2B2E33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E8E9EB"/>
      </bottom>
      <diagonal/>
    </border>
  </borders>
  <cellStyleXfs count="1">
    <xf numFmtId="0" fontId="0" fillId="0" borderId="0"/>
  </cellStyleXfs>
  <cellXfs count="282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0" xfId="0" applyBorder="1"/>
    <xf numFmtId="0" fontId="0" fillId="0" borderId="0" xfId="0" applyBorder="1" applyAlignment="1">
      <alignment horizontal="center"/>
    </xf>
    <xf numFmtId="9" fontId="0" fillId="0" borderId="0" xfId="0" applyNumberFormat="1" applyBorder="1" applyAlignment="1">
      <alignment horizontal="center"/>
    </xf>
    <xf numFmtId="0" fontId="2" fillId="0" borderId="0" xfId="0" applyFont="1" applyAlignment="1">
      <alignment horizontal="center" vertical="center"/>
    </xf>
    <xf numFmtId="16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horizontal="center"/>
    </xf>
    <xf numFmtId="164" fontId="2" fillId="3" borderId="0" xfId="0" applyNumberFormat="1" applyFont="1" applyFill="1" applyAlignment="1">
      <alignment horizontal="center" vertical="center"/>
    </xf>
    <xf numFmtId="164" fontId="3" fillId="3" borderId="2" xfId="0" applyNumberFormat="1" applyFont="1" applyFill="1" applyBorder="1" applyAlignment="1">
      <alignment horizontal="center" vertical="center"/>
    </xf>
    <xf numFmtId="164" fontId="2" fillId="0" borderId="3" xfId="0" applyNumberFormat="1" applyFont="1" applyBorder="1"/>
    <xf numFmtId="164" fontId="2" fillId="0" borderId="4" xfId="0" applyNumberFormat="1" applyFont="1" applyBorder="1"/>
    <xf numFmtId="0" fontId="3" fillId="0" borderId="0" xfId="0" applyFont="1"/>
    <xf numFmtId="0" fontId="3" fillId="0" borderId="0" xfId="0" applyFont="1" applyAlignment="1">
      <alignment horizontal="center" vertical="center"/>
    </xf>
    <xf numFmtId="165" fontId="2" fillId="0" borderId="0" xfId="0" applyNumberFormat="1" applyFont="1"/>
    <xf numFmtId="166" fontId="2" fillId="0" borderId="0" xfId="0" applyNumberFormat="1" applyFont="1" applyAlignment="1">
      <alignment horizontal="center" vertical="center"/>
    </xf>
    <xf numFmtId="166" fontId="2" fillId="0" borderId="0" xfId="0" applyNumberFormat="1" applyFont="1"/>
    <xf numFmtId="166" fontId="4" fillId="0" borderId="0" xfId="0" applyNumberFormat="1" applyFont="1"/>
    <xf numFmtId="0" fontId="5" fillId="0" borderId="2" xfId="0" applyFont="1" applyBorder="1" applyAlignment="1">
      <alignment horizontal="center" vertical="center"/>
    </xf>
    <xf numFmtId="164" fontId="5" fillId="6" borderId="6" xfId="0" applyNumberFormat="1" applyFont="1" applyFill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6" borderId="8" xfId="0" applyNumberFormat="1" applyFont="1" applyFill="1" applyBorder="1" applyAlignment="1">
      <alignment horizontal="center" vertical="center"/>
    </xf>
    <xf numFmtId="164" fontId="3" fillId="5" borderId="7" xfId="0" applyNumberFormat="1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164" fontId="2" fillId="3" borderId="6" xfId="0" applyNumberFormat="1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6" fontId="2" fillId="0" borderId="10" xfId="0" applyNumberFormat="1" applyFont="1" applyBorder="1" applyAlignment="1">
      <alignment horizontal="center"/>
    </xf>
    <xf numFmtId="164" fontId="2" fillId="0" borderId="10" xfId="0" applyNumberFormat="1" applyFont="1" applyBorder="1"/>
    <xf numFmtId="164" fontId="2" fillId="0" borderId="11" xfId="0" applyNumberFormat="1" applyFont="1" applyBorder="1"/>
    <xf numFmtId="0" fontId="2" fillId="0" borderId="12" xfId="0" applyFont="1" applyBorder="1" applyAlignment="1">
      <alignment horizontal="center" vertical="center"/>
    </xf>
    <xf numFmtId="16" fontId="2" fillId="0" borderId="0" xfId="0" applyNumberFormat="1" applyFont="1" applyBorder="1" applyAlignment="1">
      <alignment horizontal="center"/>
    </xf>
    <xf numFmtId="164" fontId="2" fillId="0" borderId="0" xfId="0" applyNumberFormat="1" applyFont="1" applyBorder="1"/>
    <xf numFmtId="164" fontId="2" fillId="0" borderId="13" xfId="0" applyNumberFormat="1" applyFont="1" applyBorder="1"/>
    <xf numFmtId="0" fontId="2" fillId="0" borderId="14" xfId="0" applyFont="1" applyBorder="1" applyAlignment="1">
      <alignment horizontal="center" vertical="center"/>
    </xf>
    <xf numFmtId="16" fontId="2" fillId="0" borderId="15" xfId="0" applyNumberFormat="1" applyFont="1" applyBorder="1" applyAlignment="1">
      <alignment horizontal="center"/>
    </xf>
    <xf numFmtId="164" fontId="2" fillId="0" borderId="15" xfId="0" applyNumberFormat="1" applyFont="1" applyBorder="1"/>
    <xf numFmtId="164" fontId="2" fillId="0" borderId="16" xfId="0" applyNumberFormat="1" applyFont="1" applyBorder="1"/>
    <xf numFmtId="164" fontId="3" fillId="0" borderId="0" xfId="0" applyNumberFormat="1" applyFont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9" fontId="6" fillId="0" borderId="1" xfId="0" applyNumberFormat="1" applyFon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6" fontId="6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/>
    </xf>
    <xf numFmtId="164" fontId="2" fillId="0" borderId="19" xfId="0" applyNumberFormat="1" applyFont="1" applyBorder="1"/>
    <xf numFmtId="164" fontId="2" fillId="0" borderId="20" xfId="0" applyNumberFormat="1" applyFont="1" applyBorder="1"/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164" fontId="2" fillId="0" borderId="7" xfId="0" applyNumberFormat="1" applyFont="1" applyBorder="1"/>
    <xf numFmtId="164" fontId="2" fillId="0" borderId="6" xfId="0" applyNumberFormat="1" applyFont="1" applyBorder="1"/>
    <xf numFmtId="164" fontId="2" fillId="0" borderId="23" xfId="0" applyNumberFormat="1" applyFont="1" applyBorder="1"/>
    <xf numFmtId="164" fontId="5" fillId="2" borderId="7" xfId="0" applyNumberFormat="1" applyFont="1" applyFill="1" applyBorder="1" applyAlignment="1">
      <alignment horizontal="center" vertical="center"/>
    </xf>
    <xf numFmtId="164" fontId="2" fillId="0" borderId="12" xfId="0" applyNumberFormat="1" applyFont="1" applyBorder="1"/>
    <xf numFmtId="164" fontId="2" fillId="0" borderId="26" xfId="0" applyNumberFormat="1" applyFont="1" applyBorder="1"/>
    <xf numFmtId="164" fontId="2" fillId="0" borderId="22" xfId="0" applyNumberFormat="1" applyFont="1" applyBorder="1"/>
    <xf numFmtId="164" fontId="2" fillId="0" borderId="27" xfId="0" applyNumberFormat="1" applyFont="1" applyBorder="1"/>
    <xf numFmtId="164" fontId="2" fillId="0" borderId="29" xfId="0" applyNumberFormat="1" applyFont="1" applyBorder="1"/>
    <xf numFmtId="164" fontId="2" fillId="0" borderId="21" xfId="0" applyNumberFormat="1" applyFont="1" applyBorder="1"/>
    <xf numFmtId="164" fontId="2" fillId="0" borderId="24" xfId="0" applyNumberFormat="1" applyFont="1" applyBorder="1"/>
    <xf numFmtId="0" fontId="5" fillId="0" borderId="7" xfId="0" applyFont="1" applyBorder="1" applyAlignment="1">
      <alignment horizontal="center" vertical="center"/>
    </xf>
    <xf numFmtId="16" fontId="2" fillId="0" borderId="25" xfId="0" applyNumberFormat="1" applyFont="1" applyBorder="1" applyAlignment="1">
      <alignment horizontal="center"/>
    </xf>
    <xf numFmtId="16" fontId="2" fillId="0" borderId="18" xfId="0" applyNumberFormat="1" applyFont="1" applyBorder="1" applyAlignment="1">
      <alignment horizontal="center"/>
    </xf>
    <xf numFmtId="164" fontId="5" fillId="2" borderId="30" xfId="0" applyNumberFormat="1" applyFont="1" applyFill="1" applyBorder="1" applyAlignment="1">
      <alignment horizontal="center" vertical="center"/>
    </xf>
    <xf numFmtId="164" fontId="3" fillId="5" borderId="6" xfId="0" applyNumberFormat="1" applyFont="1" applyFill="1" applyBorder="1" applyAlignment="1">
      <alignment horizontal="center" vertical="center"/>
    </xf>
    <xf numFmtId="164" fontId="3" fillId="3" borderId="6" xfId="0" applyNumberFormat="1" applyFont="1" applyFill="1" applyBorder="1" applyAlignment="1">
      <alignment horizontal="center" vertical="center"/>
    </xf>
    <xf numFmtId="164" fontId="2" fillId="0" borderId="31" xfId="0" applyNumberFormat="1" applyFont="1" applyBorder="1"/>
    <xf numFmtId="164" fontId="2" fillId="0" borderId="32" xfId="0" applyNumberFormat="1" applyFont="1" applyBorder="1"/>
    <xf numFmtId="164" fontId="2" fillId="0" borderId="33" xfId="0" applyNumberFormat="1" applyFont="1" applyBorder="1"/>
    <xf numFmtId="165" fontId="3" fillId="5" borderId="2" xfId="0" applyNumberFormat="1" applyFont="1" applyFill="1" applyBorder="1" applyAlignment="1">
      <alignment horizontal="center" vertical="center"/>
    </xf>
    <xf numFmtId="165" fontId="3" fillId="3" borderId="2" xfId="0" applyNumberFormat="1" applyFont="1" applyFill="1" applyBorder="1" applyAlignment="1">
      <alignment horizontal="center" vertical="center"/>
    </xf>
    <xf numFmtId="165" fontId="2" fillId="0" borderId="3" xfId="0" applyNumberFormat="1" applyFont="1" applyBorder="1"/>
    <xf numFmtId="165" fontId="2" fillId="0" borderId="34" xfId="0" applyNumberFormat="1" applyFont="1" applyBorder="1"/>
    <xf numFmtId="165" fontId="2" fillId="0" borderId="4" xfId="0" applyNumberFormat="1" applyFont="1" applyBorder="1"/>
    <xf numFmtId="165" fontId="2" fillId="0" borderId="35" xfId="0" applyNumberFormat="1" applyFont="1" applyBorder="1"/>
    <xf numFmtId="165" fontId="2" fillId="0" borderId="36" xfId="0" applyNumberFormat="1" applyFont="1" applyBorder="1"/>
    <xf numFmtId="0" fontId="2" fillId="0" borderId="39" xfId="0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16" fontId="2" fillId="0" borderId="37" xfId="0" applyNumberFormat="1" applyFont="1" applyBorder="1" applyAlignment="1">
      <alignment horizontal="center"/>
    </xf>
    <xf numFmtId="16" fontId="2" fillId="0" borderId="36" xfId="0" applyNumberFormat="1" applyFont="1" applyBorder="1" applyAlignment="1">
      <alignment horizontal="center"/>
    </xf>
    <xf numFmtId="16" fontId="2" fillId="0" borderId="38" xfId="0" applyNumberFormat="1" applyFont="1" applyBorder="1" applyAlignment="1">
      <alignment horizontal="center"/>
    </xf>
    <xf numFmtId="164" fontId="3" fillId="5" borderId="0" xfId="0" applyNumberFormat="1" applyFont="1" applyFill="1" applyAlignment="1">
      <alignment horizontal="center" vertical="center"/>
    </xf>
    <xf numFmtId="165" fontId="3" fillId="4" borderId="2" xfId="0" applyNumberFormat="1" applyFont="1" applyFill="1" applyBorder="1" applyAlignment="1">
      <alignment horizontal="center" vertical="center"/>
    </xf>
    <xf numFmtId="164" fontId="3" fillId="4" borderId="7" xfId="0" applyNumberFormat="1" applyFont="1" applyFill="1" applyBorder="1" applyAlignment="1">
      <alignment horizontal="center" vertical="center"/>
    </xf>
    <xf numFmtId="164" fontId="3" fillId="4" borderId="0" xfId="0" applyNumberFormat="1" applyFont="1" applyFill="1" applyAlignment="1">
      <alignment horizontal="center" vertical="center"/>
    </xf>
    <xf numFmtId="165" fontId="2" fillId="4" borderId="37" xfId="0" applyNumberFormat="1" applyFont="1" applyFill="1" applyBorder="1"/>
    <xf numFmtId="165" fontId="2" fillId="4" borderId="36" xfId="0" applyNumberFormat="1" applyFont="1" applyFill="1" applyBorder="1"/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 wrapText="1"/>
    </xf>
    <xf numFmtId="0" fontId="0" fillId="0" borderId="37" xfId="0" applyBorder="1"/>
    <xf numFmtId="0" fontId="0" fillId="0" borderId="38" xfId="0" applyBorder="1"/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3" xfId="0" applyBorder="1"/>
    <xf numFmtId="0" fontId="0" fillId="0" borderId="35" xfId="0" applyBorder="1"/>
    <xf numFmtId="0" fontId="2" fillId="0" borderId="41" xfId="0" applyFont="1" applyBorder="1"/>
    <xf numFmtId="0" fontId="2" fillId="0" borderId="42" xfId="0" applyFont="1" applyBorder="1"/>
    <xf numFmtId="0" fontId="2" fillId="0" borderId="44" xfId="0" applyFont="1" applyBorder="1"/>
    <xf numFmtId="0" fontId="2" fillId="0" borderId="45" xfId="0" applyFont="1" applyBorder="1"/>
    <xf numFmtId="0" fontId="0" fillId="0" borderId="34" xfId="0" applyBorder="1" applyAlignment="1">
      <alignment horizontal="center" vertical="center" wrapText="1"/>
    </xf>
    <xf numFmtId="0" fontId="0" fillId="4" borderId="3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0" fillId="0" borderId="34" xfId="0" applyBorder="1"/>
    <xf numFmtId="0" fontId="0" fillId="0" borderId="4" xfId="0" applyBorder="1"/>
    <xf numFmtId="0" fontId="0" fillId="0" borderId="11" xfId="0" applyBorder="1"/>
    <xf numFmtId="0" fontId="0" fillId="0" borderId="13" xfId="0" applyBorder="1"/>
    <xf numFmtId="0" fontId="0" fillId="0" borderId="16" xfId="0" applyBorder="1"/>
    <xf numFmtId="167" fontId="3" fillId="0" borderId="37" xfId="0" applyNumberFormat="1" applyFont="1" applyBorder="1"/>
    <xf numFmtId="167" fontId="3" fillId="0" borderId="34" xfId="0" applyNumberFormat="1" applyFont="1" applyBorder="1"/>
    <xf numFmtId="167" fontId="3" fillId="0" borderId="38" xfId="0" applyNumberFormat="1" applyFont="1" applyBorder="1"/>
    <xf numFmtId="167" fontId="3" fillId="0" borderId="4" xfId="0" applyNumberFormat="1" applyFont="1" applyBorder="1"/>
    <xf numFmtId="167" fontId="3" fillId="0" borderId="43" xfId="0" applyNumberFormat="1" applyFont="1" applyBorder="1"/>
    <xf numFmtId="167" fontId="3" fillId="0" borderId="35" xfId="0" applyNumberFormat="1" applyFont="1" applyBorder="1"/>
    <xf numFmtId="167" fontId="3" fillId="0" borderId="3" xfId="0" applyNumberFormat="1" applyFont="1" applyBorder="1"/>
    <xf numFmtId="0" fontId="0" fillId="0" borderId="3" xfId="0" applyBorder="1" applyAlignment="1">
      <alignment horizontal="center"/>
    </xf>
    <xf numFmtId="0" fontId="2" fillId="0" borderId="0" xfId="0" applyFont="1" applyBorder="1"/>
    <xf numFmtId="167" fontId="3" fillId="0" borderId="39" xfId="0" applyNumberFormat="1" applyFont="1" applyBorder="1"/>
    <xf numFmtId="167" fontId="3" fillId="0" borderId="12" xfId="0" applyNumberFormat="1" applyFont="1" applyBorder="1"/>
    <xf numFmtId="167" fontId="3" fillId="0" borderId="3" xfId="0" applyNumberFormat="1" applyFont="1" applyBorder="1" applyAlignment="1">
      <alignment horizontal="right"/>
    </xf>
    <xf numFmtId="167" fontId="3" fillId="0" borderId="9" xfId="0" applyNumberFormat="1" applyFont="1" applyBorder="1"/>
    <xf numFmtId="167" fontId="3" fillId="0" borderId="14" xfId="0" applyNumberFormat="1" applyFont="1" applyBorder="1"/>
    <xf numFmtId="0" fontId="0" fillId="4" borderId="3" xfId="0" applyFill="1" applyBorder="1" applyAlignment="1">
      <alignment horizontal="center"/>
    </xf>
    <xf numFmtId="165" fontId="2" fillId="4" borderId="38" xfId="0" applyNumberFormat="1" applyFont="1" applyFill="1" applyBorder="1"/>
    <xf numFmtId="166" fontId="3" fillId="0" borderId="0" xfId="0" applyNumberFormat="1" applyFont="1"/>
    <xf numFmtId="0" fontId="2" fillId="0" borderId="46" xfId="0" applyFont="1" applyBorder="1" applyAlignment="1">
      <alignment horizontal="center" vertical="center"/>
    </xf>
    <xf numFmtId="16" fontId="2" fillId="0" borderId="43" xfId="0" applyNumberFormat="1" applyFont="1" applyBorder="1" applyAlignment="1">
      <alignment horizontal="center"/>
    </xf>
    <xf numFmtId="165" fontId="2" fillId="4" borderId="43" xfId="0" applyNumberFormat="1" applyFont="1" applyFill="1" applyBorder="1"/>
    <xf numFmtId="164" fontId="2" fillId="0" borderId="47" xfId="0" applyNumberFormat="1" applyFont="1" applyBorder="1"/>
    <xf numFmtId="164" fontId="2" fillId="0" borderId="48" xfId="0" applyNumberFormat="1" applyFont="1" applyBorder="1"/>
    <xf numFmtId="164" fontId="2" fillId="4" borderId="0" xfId="0" applyNumberFormat="1" applyFont="1" applyFill="1"/>
    <xf numFmtId="165" fontId="3" fillId="2" borderId="2" xfId="0" applyNumberFormat="1" applyFont="1" applyFill="1" applyBorder="1" applyAlignment="1">
      <alignment horizontal="center" vertical="center"/>
    </xf>
    <xf numFmtId="164" fontId="3" fillId="2" borderId="7" xfId="0" applyNumberFormat="1" applyFont="1" applyFill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165" fontId="3" fillId="2" borderId="34" xfId="0" applyNumberFormat="1" applyFont="1" applyFill="1" applyBorder="1" applyAlignment="1">
      <alignment horizontal="center" vertical="center"/>
    </xf>
    <xf numFmtId="16" fontId="2" fillId="0" borderId="39" xfId="0" applyNumberFormat="1" applyFont="1" applyBorder="1" applyAlignment="1">
      <alignment horizontal="center"/>
    </xf>
    <xf numFmtId="16" fontId="2" fillId="0" borderId="28" xfId="0" applyNumberFormat="1" applyFont="1" applyBorder="1" applyAlignment="1">
      <alignment horizontal="center"/>
    </xf>
    <xf numFmtId="16" fontId="2" fillId="0" borderId="40" xfId="0" applyNumberFormat="1" applyFont="1" applyBorder="1" applyAlignment="1">
      <alignment horizontal="center"/>
    </xf>
    <xf numFmtId="164" fontId="3" fillId="2" borderId="10" xfId="0" applyNumberFormat="1" applyFont="1" applyFill="1" applyBorder="1" applyAlignment="1">
      <alignment horizontal="center" vertical="center"/>
    </xf>
    <xf numFmtId="164" fontId="2" fillId="0" borderId="49" xfId="0" applyNumberFormat="1" applyFont="1" applyBorder="1"/>
    <xf numFmtId="164" fontId="3" fillId="2" borderId="8" xfId="0" applyNumberFormat="1" applyFont="1" applyFill="1" applyBorder="1" applyAlignment="1">
      <alignment horizontal="center" vertical="center"/>
    </xf>
    <xf numFmtId="164" fontId="3" fillId="2" borderId="11" xfId="0" applyNumberFormat="1" applyFont="1" applyFill="1" applyBorder="1" applyAlignment="1">
      <alignment horizontal="center" vertical="center"/>
    </xf>
    <xf numFmtId="165" fontId="2" fillId="0" borderId="39" xfId="0" applyNumberFormat="1" applyFont="1" applyBorder="1"/>
    <xf numFmtId="165" fontId="2" fillId="0" borderId="28" xfId="0" applyNumberFormat="1" applyFont="1" applyBorder="1"/>
    <xf numFmtId="165" fontId="2" fillId="0" borderId="40" xfId="0" applyNumberFormat="1" applyFont="1" applyBorder="1"/>
    <xf numFmtId="164" fontId="2" fillId="2" borderId="0" xfId="0" applyNumberFormat="1" applyFont="1" applyFill="1"/>
    <xf numFmtId="0" fontId="2" fillId="0" borderId="35" xfId="0" applyFont="1" applyBorder="1" applyAlignment="1">
      <alignment horizontal="center" vertical="center"/>
    </xf>
    <xf numFmtId="16" fontId="2" fillId="0" borderId="50" xfId="0" applyNumberFormat="1" applyFont="1" applyBorder="1" applyAlignment="1">
      <alignment horizontal="center"/>
    </xf>
    <xf numFmtId="165" fontId="2" fillId="0" borderId="50" xfId="0" applyNumberFormat="1" applyFont="1" applyBorder="1"/>
    <xf numFmtId="164" fontId="3" fillId="2" borderId="6" xfId="0" applyNumberFormat="1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/>
    </xf>
    <xf numFmtId="165" fontId="2" fillId="0" borderId="10" xfId="0" applyNumberFormat="1" applyFont="1" applyBorder="1"/>
    <xf numFmtId="166" fontId="4" fillId="8" borderId="0" xfId="0" applyNumberFormat="1" applyFont="1" applyFill="1"/>
    <xf numFmtId="0" fontId="2" fillId="8" borderId="0" xfId="0" applyFont="1" applyFill="1"/>
    <xf numFmtId="16" fontId="2" fillId="0" borderId="35" xfId="0" applyNumberFormat="1" applyFont="1" applyBorder="1" applyAlignment="1">
      <alignment horizontal="center"/>
    </xf>
    <xf numFmtId="16" fontId="2" fillId="0" borderId="4" xfId="0" applyNumberFormat="1" applyFont="1" applyBorder="1" applyAlignment="1">
      <alignment horizontal="center"/>
    </xf>
    <xf numFmtId="164" fontId="3" fillId="3" borderId="8" xfId="0" applyNumberFormat="1" applyFont="1" applyFill="1" applyBorder="1" applyAlignment="1">
      <alignment horizontal="center" vertical="center"/>
    </xf>
    <xf numFmtId="164" fontId="2" fillId="3" borderId="0" xfId="0" applyNumberFormat="1" applyFont="1" applyFill="1"/>
    <xf numFmtId="0" fontId="2" fillId="3" borderId="35" xfId="0" applyFont="1" applyFill="1" applyBorder="1" applyAlignment="1">
      <alignment horizontal="center" vertical="center"/>
    </xf>
    <xf numFmtId="16" fontId="2" fillId="3" borderId="37" xfId="0" applyNumberFormat="1" applyFont="1" applyFill="1" applyBorder="1" applyAlignment="1">
      <alignment horizontal="center"/>
    </xf>
    <xf numFmtId="165" fontId="2" fillId="3" borderId="28" xfId="0" applyNumberFormat="1" applyFont="1" applyFill="1" applyBorder="1"/>
    <xf numFmtId="164" fontId="2" fillId="3" borderId="26" xfId="0" applyNumberFormat="1" applyFont="1" applyFill="1" applyBorder="1"/>
    <xf numFmtId="164" fontId="2" fillId="3" borderId="23" xfId="0" applyNumberFormat="1" applyFont="1" applyFill="1" applyBorder="1"/>
    <xf numFmtId="164" fontId="2" fillId="3" borderId="31" xfId="0" applyNumberFormat="1" applyFont="1" applyFill="1" applyBorder="1"/>
    <xf numFmtId="0" fontId="2" fillId="3" borderId="36" xfId="0" applyFont="1" applyFill="1" applyBorder="1" applyAlignment="1">
      <alignment horizontal="center" vertical="center"/>
    </xf>
    <xf numFmtId="16" fontId="2" fillId="3" borderId="35" xfId="0" applyNumberFormat="1" applyFont="1" applyFill="1" applyBorder="1" applyAlignment="1">
      <alignment horizontal="center"/>
    </xf>
    <xf numFmtId="164" fontId="2" fillId="3" borderId="22" xfId="0" applyNumberFormat="1" applyFont="1" applyFill="1" applyBorder="1"/>
    <xf numFmtId="164" fontId="2" fillId="3" borderId="27" xfId="0" applyNumberFormat="1" applyFont="1" applyFill="1" applyBorder="1"/>
    <xf numFmtId="164" fontId="2" fillId="3" borderId="20" xfId="0" applyNumberFormat="1" applyFont="1" applyFill="1" applyBorder="1"/>
    <xf numFmtId="0" fontId="2" fillId="3" borderId="38" xfId="0" applyFont="1" applyFill="1" applyBorder="1" applyAlignment="1">
      <alignment horizontal="center" vertical="center"/>
    </xf>
    <xf numFmtId="16" fontId="2" fillId="3" borderId="4" xfId="0" applyNumberFormat="1" applyFont="1" applyFill="1" applyBorder="1" applyAlignment="1">
      <alignment horizontal="center"/>
    </xf>
    <xf numFmtId="165" fontId="2" fillId="3" borderId="40" xfId="0" applyNumberFormat="1" applyFont="1" applyFill="1" applyBorder="1"/>
    <xf numFmtId="164" fontId="2" fillId="3" borderId="24" xfId="0" applyNumberFormat="1" applyFont="1" applyFill="1" applyBorder="1"/>
    <xf numFmtId="164" fontId="2" fillId="3" borderId="49" xfId="0" applyNumberFormat="1" applyFont="1" applyFill="1" applyBorder="1"/>
    <xf numFmtId="164" fontId="2" fillId="3" borderId="33" xfId="0" applyNumberFormat="1" applyFont="1" applyFill="1" applyBorder="1"/>
    <xf numFmtId="164" fontId="2" fillId="0" borderId="45" xfId="0" applyNumberFormat="1" applyFont="1" applyBorder="1"/>
    <xf numFmtId="164" fontId="2" fillId="2" borderId="41" xfId="0" applyNumberFormat="1" applyFont="1" applyFill="1" applyBorder="1"/>
    <xf numFmtId="164" fontId="2" fillId="2" borderId="45" xfId="0" applyNumberFormat="1" applyFont="1" applyFill="1" applyBorder="1"/>
    <xf numFmtId="164" fontId="2" fillId="2" borderId="15" xfId="0" applyNumberFormat="1" applyFont="1" applyFill="1" applyBorder="1"/>
    <xf numFmtId="164" fontId="2" fillId="2" borderId="10" xfId="0" applyNumberFormat="1" applyFont="1" applyFill="1" applyBorder="1"/>
    <xf numFmtId="164" fontId="2" fillId="2" borderId="29" xfId="0" applyNumberFormat="1" applyFont="1" applyFill="1" applyBorder="1"/>
    <xf numFmtId="164" fontId="2" fillId="2" borderId="0" xfId="0" applyNumberFormat="1" applyFont="1" applyFill="1" applyBorder="1"/>
    <xf numFmtId="164" fontId="2" fillId="2" borderId="19" xfId="0" applyNumberFormat="1" applyFont="1" applyFill="1" applyBorder="1"/>
    <xf numFmtId="164" fontId="2" fillId="0" borderId="51" xfId="0" applyNumberFormat="1" applyFont="1" applyBorder="1"/>
    <xf numFmtId="164" fontId="2" fillId="0" borderId="52" xfId="0" applyNumberFormat="1" applyFont="1" applyBorder="1"/>
    <xf numFmtId="164" fontId="3" fillId="5" borderId="30" xfId="0" applyNumberFormat="1" applyFont="1" applyFill="1" applyBorder="1" applyAlignment="1">
      <alignment horizontal="center" vertical="center"/>
    </xf>
    <xf numFmtId="164" fontId="2" fillId="0" borderId="53" xfId="0" applyNumberFormat="1" applyFont="1" applyBorder="1"/>
    <xf numFmtId="164" fontId="2" fillId="0" borderId="54" xfId="0" applyNumberFormat="1" applyFont="1" applyBorder="1"/>
    <xf numFmtId="164" fontId="2" fillId="0" borderId="55" xfId="0" applyNumberFormat="1" applyFont="1" applyBorder="1"/>
    <xf numFmtId="164" fontId="3" fillId="4" borderId="30" xfId="0" applyNumberFormat="1" applyFont="1" applyFill="1" applyBorder="1" applyAlignment="1">
      <alignment horizontal="center" vertical="center"/>
    </xf>
    <xf numFmtId="164" fontId="2" fillId="0" borderId="30" xfId="0" applyNumberFormat="1" applyFont="1" applyBorder="1"/>
    <xf numFmtId="164" fontId="3" fillId="2" borderId="30" xfId="0" applyNumberFormat="1" applyFont="1" applyFill="1" applyBorder="1" applyAlignment="1">
      <alignment horizontal="center" vertical="center"/>
    </xf>
    <xf numFmtId="164" fontId="2" fillId="0" borderId="56" xfId="0" applyNumberFormat="1" applyFont="1" applyBorder="1"/>
    <xf numFmtId="164" fontId="3" fillId="4" borderId="6" xfId="0" applyNumberFormat="1" applyFont="1" applyFill="1" applyBorder="1" applyAlignment="1">
      <alignment horizontal="center" vertical="center"/>
    </xf>
    <xf numFmtId="164" fontId="2" fillId="7" borderId="51" xfId="0" applyNumberFormat="1" applyFont="1" applyFill="1" applyBorder="1"/>
    <xf numFmtId="164" fontId="2" fillId="7" borderId="56" xfId="0" applyNumberFormat="1" applyFont="1" applyFill="1" applyBorder="1"/>
    <xf numFmtId="164" fontId="2" fillId="7" borderId="16" xfId="0" applyNumberFormat="1" applyFont="1" applyFill="1" applyBorder="1"/>
    <xf numFmtId="164" fontId="2" fillId="7" borderId="11" xfId="0" applyNumberFormat="1" applyFont="1" applyFill="1" applyBorder="1"/>
    <xf numFmtId="164" fontId="2" fillId="7" borderId="29" xfId="0" applyNumberFormat="1" applyFont="1" applyFill="1" applyBorder="1"/>
    <xf numFmtId="164" fontId="2" fillId="7" borderId="13" xfId="0" applyNumberFormat="1" applyFont="1" applyFill="1" applyBorder="1"/>
    <xf numFmtId="164" fontId="2" fillId="3" borderId="56" xfId="0" applyNumberFormat="1" applyFont="1" applyFill="1" applyBorder="1"/>
    <xf numFmtId="164" fontId="2" fillId="3" borderId="29" xfId="0" applyNumberFormat="1" applyFont="1" applyFill="1" applyBorder="1"/>
    <xf numFmtId="164" fontId="2" fillId="3" borderId="52" xfId="0" applyNumberFormat="1" applyFont="1" applyFill="1" applyBorder="1"/>
    <xf numFmtId="164" fontId="3" fillId="5" borderId="8" xfId="0" applyNumberFormat="1" applyFont="1" applyFill="1" applyBorder="1" applyAlignment="1">
      <alignment horizontal="center" vertical="center"/>
    </xf>
    <xf numFmtId="164" fontId="2" fillId="0" borderId="57" xfId="0" applyNumberFormat="1" applyFont="1" applyBorder="1"/>
    <xf numFmtId="164" fontId="2" fillId="0" borderId="58" xfId="0" applyNumberFormat="1" applyFont="1" applyBorder="1"/>
    <xf numFmtId="164" fontId="2" fillId="0" borderId="59" xfId="0" applyNumberFormat="1" applyFont="1" applyBorder="1"/>
    <xf numFmtId="164" fontId="3" fillId="4" borderId="8" xfId="0" applyNumberFormat="1" applyFont="1" applyFill="1" applyBorder="1" applyAlignment="1">
      <alignment horizontal="center" vertical="center"/>
    </xf>
    <xf numFmtId="164" fontId="2" fillId="5" borderId="0" xfId="0" applyNumberFormat="1" applyFont="1" applyFill="1"/>
    <xf numFmtId="166" fontId="2" fillId="0" borderId="13" xfId="0" applyNumberFormat="1" applyFont="1" applyBorder="1"/>
    <xf numFmtId="166" fontId="2" fillId="0" borderId="58" xfId="0" applyNumberFormat="1" applyFont="1" applyBorder="1"/>
    <xf numFmtId="166" fontId="3" fillId="5" borderId="59" xfId="0" applyNumberFormat="1" applyFont="1" applyFill="1" applyBorder="1"/>
    <xf numFmtId="166" fontId="3" fillId="5" borderId="16" xfId="0" applyNumberFormat="1" applyFont="1" applyFill="1" applyBorder="1"/>
    <xf numFmtId="165" fontId="9" fillId="0" borderId="0" xfId="0" applyNumberFormat="1" applyFont="1"/>
    <xf numFmtId="165" fontId="9" fillId="0" borderId="36" xfId="0" applyNumberFormat="1" applyFont="1" applyBorder="1"/>
    <xf numFmtId="165" fontId="2" fillId="0" borderId="28" xfId="0" applyNumberFormat="1" applyFont="1" applyBorder="1" applyAlignment="1">
      <alignment horizontal="right"/>
    </xf>
    <xf numFmtId="165" fontId="2" fillId="0" borderId="36" xfId="0" applyNumberFormat="1" applyFont="1" applyBorder="1" applyAlignment="1">
      <alignment horizontal="right"/>
    </xf>
    <xf numFmtId="165" fontId="2" fillId="0" borderId="50" xfId="0" applyNumberFormat="1" applyFont="1" applyBorder="1" applyAlignment="1">
      <alignment horizontal="right"/>
    </xf>
    <xf numFmtId="165" fontId="9" fillId="0" borderId="0" xfId="0" applyNumberFormat="1" applyFont="1" applyAlignment="1">
      <alignment horizontal="right"/>
    </xf>
    <xf numFmtId="165" fontId="9" fillId="0" borderId="43" xfId="0" applyNumberFormat="1" applyFont="1" applyBorder="1" applyAlignment="1">
      <alignment horizontal="right"/>
    </xf>
    <xf numFmtId="165" fontId="9" fillId="0" borderId="36" xfId="0" applyNumberFormat="1" applyFont="1" applyBorder="1" applyAlignment="1">
      <alignment horizontal="right"/>
    </xf>
    <xf numFmtId="165" fontId="9" fillId="0" borderId="35" xfId="0" applyNumberFormat="1" applyFont="1" applyBorder="1" applyAlignment="1">
      <alignment horizontal="right"/>
    </xf>
    <xf numFmtId="165" fontId="9" fillId="9" borderId="36" xfId="0" applyNumberFormat="1" applyFont="1" applyFill="1" applyBorder="1" applyAlignment="1">
      <alignment horizontal="right" vertical="top" wrapText="1"/>
    </xf>
    <xf numFmtId="165" fontId="5" fillId="4" borderId="2" xfId="0" applyNumberFormat="1" applyFont="1" applyFill="1" applyBorder="1" applyAlignment="1">
      <alignment horizontal="center" vertical="center"/>
    </xf>
    <xf numFmtId="165" fontId="2" fillId="0" borderId="7" xfId="0" applyNumberFormat="1" applyFont="1" applyBorder="1"/>
    <xf numFmtId="165" fontId="10" fillId="0" borderId="0" xfId="0" applyNumberFormat="1" applyFont="1"/>
    <xf numFmtId="165" fontId="9" fillId="9" borderId="36" xfId="0" applyNumberFormat="1" applyFont="1" applyFill="1" applyBorder="1" applyAlignment="1">
      <alignment vertical="top" wrapText="1"/>
    </xf>
    <xf numFmtId="164" fontId="2" fillId="0" borderId="60" xfId="0" applyNumberFormat="1" applyFont="1" applyBorder="1"/>
    <xf numFmtId="0" fontId="5" fillId="0" borderId="0" xfId="0" applyFont="1" applyAlignment="1">
      <alignment horizontal="center" vertical="center" wrapText="1"/>
    </xf>
    <xf numFmtId="166" fontId="3" fillId="4" borderId="59" xfId="0" applyNumberFormat="1" applyFont="1" applyFill="1" applyBorder="1"/>
    <xf numFmtId="166" fontId="3" fillId="4" borderId="16" xfId="0" applyNumberFormat="1" applyFont="1" applyFill="1" applyBorder="1"/>
    <xf numFmtId="166" fontId="3" fillId="3" borderId="8" xfId="0" applyNumberFormat="1" applyFont="1" applyFill="1" applyBorder="1"/>
    <xf numFmtId="166" fontId="3" fillId="3" borderId="6" xfId="0" applyNumberFormat="1" applyFont="1" applyFill="1" applyBorder="1"/>
    <xf numFmtId="0" fontId="2" fillId="3" borderId="58" xfId="0" applyFont="1" applyFill="1" applyBorder="1"/>
    <xf numFmtId="0" fontId="2" fillId="3" borderId="13" xfId="0" applyFont="1" applyFill="1" applyBorder="1"/>
    <xf numFmtId="166" fontId="3" fillId="3" borderId="59" xfId="0" applyNumberFormat="1" applyFont="1" applyFill="1" applyBorder="1"/>
    <xf numFmtId="166" fontId="3" fillId="3" borderId="16" xfId="0" applyNumberFormat="1" applyFont="1" applyFill="1" applyBorder="1"/>
    <xf numFmtId="0" fontId="9" fillId="0" borderId="36" xfId="0" applyFont="1" applyBorder="1"/>
    <xf numFmtId="0" fontId="9" fillId="9" borderId="36" xfId="0" applyFont="1" applyFill="1" applyBorder="1" applyAlignment="1">
      <alignment vertical="top" wrapText="1"/>
    </xf>
    <xf numFmtId="0" fontId="9" fillId="0" borderId="37" xfId="0" applyFont="1" applyBorder="1"/>
    <xf numFmtId="164" fontId="11" fillId="0" borderId="0" xfId="0" applyNumberFormat="1" applyFont="1"/>
    <xf numFmtId="165" fontId="2" fillId="0" borderId="38" xfId="0" applyNumberFormat="1" applyFont="1" applyBorder="1"/>
    <xf numFmtId="165" fontId="3" fillId="4" borderId="34" xfId="0" applyNumberFormat="1" applyFont="1" applyFill="1" applyBorder="1" applyAlignment="1">
      <alignment horizontal="center" vertical="center"/>
    </xf>
    <xf numFmtId="0" fontId="9" fillId="0" borderId="38" xfId="0" applyFont="1" applyBorder="1"/>
    <xf numFmtId="166" fontId="5" fillId="0" borderId="0" xfId="0" applyNumberFormat="1" applyFont="1" applyAlignment="1">
      <alignment horizontal="center" vertical="center" wrapText="1"/>
    </xf>
    <xf numFmtId="0" fontId="12" fillId="0" borderId="3" xfId="0" applyFont="1" applyBorder="1"/>
    <xf numFmtId="0" fontId="12" fillId="9" borderId="61" xfId="0" applyFont="1" applyFill="1" applyBorder="1" applyAlignment="1">
      <alignment vertical="top" wrapText="1"/>
    </xf>
    <xf numFmtId="0" fontId="3" fillId="4" borderId="5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17" fontId="2" fillId="3" borderId="5" xfId="0" applyNumberFormat="1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17" fontId="3" fillId="3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33D38-EEBB-497E-8EE1-9EE55500E79B}">
  <dimension ref="A2:G19"/>
  <sheetViews>
    <sheetView workbookViewId="0">
      <selection activeCell="E5" sqref="E5"/>
    </sheetView>
  </sheetViews>
  <sheetFormatPr defaultRowHeight="15" x14ac:dyDescent="0.25"/>
  <cols>
    <col min="1" max="1" width="13" customWidth="1"/>
    <col min="2" max="2" width="23.42578125" customWidth="1"/>
    <col min="3" max="3" width="29.85546875" customWidth="1"/>
    <col min="4" max="4" width="85.28515625" customWidth="1"/>
    <col min="5" max="5" width="13" customWidth="1"/>
    <col min="6" max="6" width="13.7109375" customWidth="1"/>
    <col min="7" max="7" width="13" customWidth="1"/>
  </cols>
  <sheetData>
    <row r="2" spans="1:7" x14ac:dyDescent="0.25">
      <c r="A2" t="s">
        <v>44</v>
      </c>
    </row>
    <row r="4" spans="1:7" ht="15.75" thickBot="1" x14ac:dyDescent="0.3">
      <c r="E4" t="s">
        <v>70</v>
      </c>
    </row>
    <row r="5" spans="1:7" s="99" customFormat="1" ht="29.25" customHeight="1" thickBot="1" x14ac:dyDescent="0.3">
      <c r="A5" s="111" t="s">
        <v>32</v>
      </c>
      <c r="B5" s="103" t="s">
        <v>45</v>
      </c>
      <c r="C5" s="104" t="s">
        <v>46</v>
      </c>
      <c r="D5" s="103" t="s">
        <v>51</v>
      </c>
      <c r="E5" s="100" t="s">
        <v>65</v>
      </c>
      <c r="F5" s="116" t="s">
        <v>61</v>
      </c>
      <c r="G5" s="117" t="s">
        <v>63</v>
      </c>
    </row>
    <row r="6" spans="1:7" ht="21" customHeight="1" x14ac:dyDescent="0.3">
      <c r="A6" s="112">
        <v>1</v>
      </c>
      <c r="B6" s="107" t="s">
        <v>9</v>
      </c>
      <c r="C6" s="101" t="s">
        <v>47</v>
      </c>
      <c r="D6" s="107" t="s">
        <v>55</v>
      </c>
      <c r="E6" s="123">
        <f>295.8*1.2</f>
        <v>354.96</v>
      </c>
      <c r="F6" s="124"/>
      <c r="G6" s="120"/>
    </row>
    <row r="7" spans="1:7" ht="21" customHeight="1" thickBot="1" x14ac:dyDescent="0.35">
      <c r="A7" s="113"/>
      <c r="B7" s="108"/>
      <c r="C7" s="102" t="s">
        <v>48</v>
      </c>
      <c r="D7" s="108" t="s">
        <v>56</v>
      </c>
      <c r="E7" s="125"/>
      <c r="F7" s="126"/>
      <c r="G7" s="122"/>
    </row>
    <row r="8" spans="1:7" ht="21" customHeight="1" thickBot="1" x14ac:dyDescent="0.35">
      <c r="A8" s="114">
        <v>2</v>
      </c>
      <c r="B8" s="107" t="s">
        <v>49</v>
      </c>
      <c r="C8" s="101" t="s">
        <v>47</v>
      </c>
      <c r="D8" s="107" t="s">
        <v>59</v>
      </c>
      <c r="E8" s="123">
        <f>298*1.2</f>
        <v>357.59999999999997</v>
      </c>
      <c r="F8" s="124"/>
      <c r="G8" s="120"/>
    </row>
    <row r="9" spans="1:7" ht="21" customHeight="1" thickBot="1" x14ac:dyDescent="0.35">
      <c r="A9" s="115"/>
      <c r="B9" s="108"/>
      <c r="C9" s="102" t="s">
        <v>48</v>
      </c>
      <c r="D9" s="107" t="s">
        <v>60</v>
      </c>
      <c r="E9" s="125"/>
      <c r="F9" s="126"/>
      <c r="G9" s="122"/>
    </row>
    <row r="10" spans="1:7" ht="21" customHeight="1" x14ac:dyDescent="0.3">
      <c r="A10" s="114">
        <v>3</v>
      </c>
      <c r="B10" s="107" t="s">
        <v>50</v>
      </c>
      <c r="C10" s="101" t="s">
        <v>47</v>
      </c>
      <c r="D10" s="107" t="s">
        <v>54</v>
      </c>
      <c r="E10" s="123">
        <f>262*1.2</f>
        <v>314.39999999999998</v>
      </c>
      <c r="F10" s="124"/>
      <c r="G10" s="120" t="s">
        <v>62</v>
      </c>
    </row>
    <row r="11" spans="1:7" ht="21" customHeight="1" thickBot="1" x14ac:dyDescent="0.35">
      <c r="A11" s="130"/>
      <c r="B11" s="109"/>
      <c r="C11" s="105" t="s">
        <v>48</v>
      </c>
      <c r="D11" s="109"/>
      <c r="E11" s="127"/>
      <c r="F11" s="129"/>
      <c r="G11" s="121"/>
    </row>
    <row r="12" spans="1:7" ht="21" customHeight="1" thickBot="1" x14ac:dyDescent="0.35">
      <c r="A12" s="114">
        <v>4</v>
      </c>
      <c r="B12" s="107" t="s">
        <v>66</v>
      </c>
      <c r="C12" s="101" t="s">
        <v>47</v>
      </c>
      <c r="D12" s="107" t="s">
        <v>67</v>
      </c>
      <c r="E12" s="132">
        <f>270*1.2</f>
        <v>324</v>
      </c>
      <c r="F12" s="135"/>
      <c r="G12" s="118"/>
    </row>
    <row r="13" spans="1:7" ht="21" customHeight="1" thickBot="1" x14ac:dyDescent="0.35">
      <c r="A13" s="115"/>
      <c r="B13" s="131"/>
      <c r="C13" s="105" t="s">
        <v>48</v>
      </c>
      <c r="D13" s="107" t="s">
        <v>68</v>
      </c>
      <c r="E13" s="133"/>
      <c r="F13" s="136"/>
      <c r="G13" s="119"/>
    </row>
    <row r="14" spans="1:7" ht="21" customHeight="1" x14ac:dyDescent="0.3">
      <c r="A14" s="137">
        <v>5</v>
      </c>
      <c r="B14" s="107" t="s">
        <v>52</v>
      </c>
      <c r="C14" s="101" t="s">
        <v>47</v>
      </c>
      <c r="D14" s="107" t="s">
        <v>57</v>
      </c>
      <c r="E14" s="123">
        <f>970</f>
        <v>970</v>
      </c>
      <c r="F14" s="134" t="s">
        <v>64</v>
      </c>
      <c r="G14" s="121"/>
    </row>
    <row r="15" spans="1:7" ht="21" customHeight="1" thickBot="1" x14ac:dyDescent="0.35">
      <c r="A15" s="113"/>
      <c r="B15" s="108"/>
      <c r="C15" s="102"/>
      <c r="D15" s="108" t="s">
        <v>58</v>
      </c>
      <c r="E15" s="125"/>
      <c r="F15" s="126"/>
      <c r="G15" s="122"/>
    </row>
    <row r="16" spans="1:7" ht="21" customHeight="1" x14ac:dyDescent="0.3">
      <c r="A16" s="114">
        <v>6</v>
      </c>
      <c r="B16" s="107" t="s">
        <v>53</v>
      </c>
      <c r="C16" s="101" t="s">
        <v>47</v>
      </c>
      <c r="D16" s="107"/>
      <c r="E16" s="123">
        <v>984</v>
      </c>
      <c r="F16" s="124">
        <v>1084</v>
      </c>
      <c r="G16" s="120"/>
    </row>
    <row r="17" spans="1:7" ht="21" customHeight="1" thickBot="1" x14ac:dyDescent="0.35">
      <c r="A17" s="115"/>
      <c r="B17" s="108"/>
      <c r="C17" s="102"/>
      <c r="D17" s="108"/>
      <c r="E17" s="125"/>
      <c r="F17" s="126"/>
      <c r="G17" s="122"/>
    </row>
    <row r="18" spans="1:7" ht="21" customHeight="1" x14ac:dyDescent="0.3">
      <c r="A18" s="114">
        <v>7</v>
      </c>
      <c r="B18" s="110" t="s">
        <v>12</v>
      </c>
      <c r="C18" s="106" t="s">
        <v>47</v>
      </c>
      <c r="D18" s="110" t="s">
        <v>54</v>
      </c>
      <c r="E18" s="128">
        <v>980</v>
      </c>
      <c r="F18" s="129">
        <v>1104</v>
      </c>
      <c r="G18" s="121"/>
    </row>
    <row r="19" spans="1:7" ht="21" customHeight="1" thickBot="1" x14ac:dyDescent="0.35">
      <c r="A19" s="115"/>
      <c r="B19" s="108"/>
      <c r="C19" s="102"/>
      <c r="D19" s="108"/>
      <c r="E19" s="125"/>
      <c r="F19" s="126"/>
      <c r="G19" s="122"/>
    </row>
  </sheetData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40E3F-D06C-4102-95EA-6B81557591D3}">
  <dimension ref="A1:O589"/>
  <sheetViews>
    <sheetView tabSelected="1" workbookViewId="0">
      <pane ySplit="1" topLeftCell="A297" activePane="bottomLeft" state="frozen"/>
      <selection pane="bottomLeft" activeCell="F559" sqref="F559"/>
    </sheetView>
  </sheetViews>
  <sheetFormatPr defaultRowHeight="15.75" outlineLevelRow="2" x14ac:dyDescent="0.25"/>
  <cols>
    <col min="1" max="1" width="9.140625" style="11"/>
    <col min="2" max="2" width="9.140625" style="15"/>
    <col min="3" max="3" width="12.5703125" style="22" customWidth="1"/>
    <col min="4" max="4" width="13.140625" style="13" customWidth="1"/>
    <col min="5" max="5" width="17.28515625" style="13" customWidth="1"/>
    <col min="6" max="6" width="13.7109375" style="13" customWidth="1"/>
    <col min="7" max="7" width="16.42578125" style="13" customWidth="1"/>
    <col min="8" max="8" width="9.140625" style="13"/>
    <col min="9" max="9" width="15.28515625" style="24" customWidth="1"/>
    <col min="10" max="11" width="15.28515625" style="14" customWidth="1"/>
    <col min="12" max="12" width="12.7109375" style="14" bestFit="1" customWidth="1"/>
    <col min="13" max="13" width="12.140625" style="14" customWidth="1"/>
    <col min="14" max="14" width="11.85546875" style="14" customWidth="1"/>
    <col min="15" max="16384" width="9.140625" style="14"/>
  </cols>
  <sheetData>
    <row r="1" spans="1:14" s="29" customFormat="1" ht="44.25" customHeight="1" thickBot="1" x14ac:dyDescent="0.3">
      <c r="A1" s="26" t="s">
        <v>32</v>
      </c>
      <c r="B1" s="71" t="s">
        <v>24</v>
      </c>
      <c r="C1" s="240" t="s">
        <v>27</v>
      </c>
      <c r="D1" s="74" t="s">
        <v>25</v>
      </c>
      <c r="E1" s="63" t="s">
        <v>28</v>
      </c>
      <c r="F1" s="30" t="s">
        <v>26</v>
      </c>
      <c r="G1" s="27" t="s">
        <v>28</v>
      </c>
      <c r="H1" s="28"/>
      <c r="I1" s="261" t="s">
        <v>81</v>
      </c>
      <c r="J1" s="245" t="s">
        <v>80</v>
      </c>
      <c r="K1" s="245" t="s">
        <v>82</v>
      </c>
      <c r="L1" s="245" t="s">
        <v>78</v>
      </c>
      <c r="M1" s="266" t="s">
        <v>79</v>
      </c>
      <c r="N1" s="267"/>
    </row>
    <row r="2" spans="1:14" s="11" customFormat="1" ht="24" customHeight="1" thickBot="1" x14ac:dyDescent="0.4">
      <c r="A2" s="272">
        <v>45658</v>
      </c>
      <c r="B2" s="273"/>
      <c r="C2" s="81">
        <v>100.8676</v>
      </c>
      <c r="D2" s="76">
        <v>8977.57</v>
      </c>
      <c r="E2" s="32"/>
      <c r="F2" s="17">
        <v>2574.9499999999998</v>
      </c>
      <c r="G2" s="33"/>
      <c r="H2" s="16"/>
      <c r="I2" s="25">
        <f>((D2-200)*C2*1.2+100000)/1000</f>
        <v>1162.4469036784001</v>
      </c>
      <c r="J2" s="25">
        <f t="shared" ref="J2:J3" si="0">(F2*C2*1.2+125000)/1000</f>
        <v>436.67483194399989</v>
      </c>
      <c r="N2" s="40"/>
    </row>
    <row r="3" spans="1:14" s="11" customFormat="1" ht="24" customHeight="1" thickBot="1" x14ac:dyDescent="0.4">
      <c r="A3" s="274" t="s">
        <v>31</v>
      </c>
      <c r="B3" s="273"/>
      <c r="C3" s="81">
        <v>92.927700000000002</v>
      </c>
      <c r="D3" s="76">
        <v>9329.25</v>
      </c>
      <c r="E3" s="32"/>
      <c r="F3" s="17">
        <v>2653.38</v>
      </c>
      <c r="G3" s="33"/>
      <c r="H3" s="16"/>
      <c r="I3" s="25">
        <f>((D3-200)*C3*1.2+100000)/1000</f>
        <v>1118.0322462700001</v>
      </c>
      <c r="J3" s="25">
        <f t="shared" si="0"/>
        <v>420.88700075119999</v>
      </c>
      <c r="N3" s="40"/>
    </row>
    <row r="4" spans="1:14" s="11" customFormat="1" ht="24" customHeight="1" thickBot="1" x14ac:dyDescent="0.4">
      <c r="A4" s="274" t="s">
        <v>30</v>
      </c>
      <c r="B4" s="273"/>
      <c r="C4" s="81">
        <f>SUM(C5:C35)/31</f>
        <v>86.098680645161352</v>
      </c>
      <c r="D4" s="76">
        <f>SUM(D5:D35)/21</f>
        <v>9731.0714285714294</v>
      </c>
      <c r="E4" s="32">
        <f>SUM(E5:E35)/21</f>
        <v>835487.96411904786</v>
      </c>
      <c r="F4" s="17">
        <v>2657.21</v>
      </c>
      <c r="G4" s="33"/>
      <c r="H4" s="16"/>
      <c r="I4" s="25">
        <f>((D4-200)*C4*1.2+100000)/1000</f>
        <v>1084.7352101617519</v>
      </c>
      <c r="J4" s="25">
        <f>(F4*C4*1.2+125000)/1000</f>
        <v>399.53873023655507</v>
      </c>
      <c r="N4" s="40"/>
    </row>
    <row r="5" spans="1:14" ht="16.5" hidden="1" outlineLevel="1" thickBot="1" x14ac:dyDescent="0.3">
      <c r="B5" s="12">
        <v>45717</v>
      </c>
      <c r="C5" s="82">
        <v>88.256799999999998</v>
      </c>
      <c r="D5" s="41"/>
      <c r="F5" s="18"/>
      <c r="G5" s="41"/>
      <c r="N5" s="40"/>
    </row>
    <row r="6" spans="1:14" ht="16.5" hidden="1" outlineLevel="1" thickBot="1" x14ac:dyDescent="0.3">
      <c r="B6" s="12">
        <v>45718</v>
      </c>
      <c r="C6" s="82">
        <v>88.256799999999998</v>
      </c>
      <c r="D6" s="41"/>
      <c r="F6" s="18"/>
      <c r="G6" s="41"/>
      <c r="N6" s="40"/>
    </row>
    <row r="7" spans="1:14" ht="16.5" hidden="1" outlineLevel="1" thickBot="1" x14ac:dyDescent="0.3">
      <c r="A7" s="11">
        <v>1</v>
      </c>
      <c r="B7" s="12">
        <v>45719</v>
      </c>
      <c r="C7" s="82">
        <v>88.256799999999998</v>
      </c>
      <c r="D7" s="41">
        <v>9360.5</v>
      </c>
      <c r="E7" s="13">
        <f t="shared" ref="E7:E30" si="1">D7*C8</f>
        <v>835421.81685000006</v>
      </c>
      <c r="F7" s="18">
        <v>2693</v>
      </c>
      <c r="G7" s="41"/>
      <c r="N7" s="40"/>
    </row>
    <row r="8" spans="1:14" ht="16.5" hidden="1" outlineLevel="1" thickBot="1" x14ac:dyDescent="0.3">
      <c r="A8" s="11">
        <v>2</v>
      </c>
      <c r="B8" s="12">
        <v>45720</v>
      </c>
      <c r="C8" s="82">
        <v>89.249700000000004</v>
      </c>
      <c r="D8" s="41">
        <v>9395</v>
      </c>
      <c r="E8" s="13">
        <f t="shared" si="1"/>
        <v>838454.89599999995</v>
      </c>
      <c r="F8" s="18">
        <v>2709</v>
      </c>
      <c r="G8" s="41"/>
      <c r="N8" s="40"/>
    </row>
    <row r="9" spans="1:14" ht="16.5" hidden="1" outlineLevel="1" thickBot="1" x14ac:dyDescent="0.3">
      <c r="A9" s="11">
        <v>3</v>
      </c>
      <c r="B9" s="12">
        <v>45721</v>
      </c>
      <c r="C9" s="82">
        <v>89.244799999999998</v>
      </c>
      <c r="D9" s="41">
        <v>9541</v>
      </c>
      <c r="E9" s="13">
        <f t="shared" si="1"/>
        <v>856665.39980000001</v>
      </c>
      <c r="F9" s="18">
        <v>2653</v>
      </c>
      <c r="G9" s="41"/>
      <c r="N9" s="40"/>
    </row>
    <row r="10" spans="1:14" ht="16.5" hidden="1" outlineLevel="1" thickBot="1" x14ac:dyDescent="0.3">
      <c r="A10" s="11">
        <v>4</v>
      </c>
      <c r="B10" s="12">
        <v>45722</v>
      </c>
      <c r="C10" s="82">
        <v>89.787800000000004</v>
      </c>
      <c r="D10" s="41">
        <v>9654</v>
      </c>
      <c r="E10" s="13">
        <f t="shared" si="1"/>
        <v>864731.94960000005</v>
      </c>
      <c r="F10" s="18">
        <v>2634</v>
      </c>
      <c r="G10" s="41"/>
      <c r="N10" s="40"/>
    </row>
    <row r="11" spans="1:14" ht="16.5" hidden="1" outlineLevel="1" thickBot="1" x14ac:dyDescent="0.3">
      <c r="A11" s="11">
        <v>5</v>
      </c>
      <c r="B11" s="12">
        <v>45723</v>
      </c>
      <c r="C11" s="82">
        <v>89.572400000000002</v>
      </c>
      <c r="D11" s="41">
        <v>9664</v>
      </c>
      <c r="E11" s="13">
        <f t="shared" si="1"/>
        <v>861412.23680000007</v>
      </c>
      <c r="F11" s="18"/>
      <c r="G11" s="41"/>
      <c r="N11" s="40"/>
    </row>
    <row r="12" spans="1:14" ht="16.5" hidden="1" outlineLevel="1" thickBot="1" x14ac:dyDescent="0.3">
      <c r="B12" s="12">
        <v>45724</v>
      </c>
      <c r="C12" s="82">
        <v>89.136200000000002</v>
      </c>
      <c r="D12" s="41"/>
      <c r="F12" s="18"/>
      <c r="G12" s="41"/>
      <c r="N12" s="40"/>
    </row>
    <row r="13" spans="1:14" ht="16.5" hidden="1" outlineLevel="1" thickBot="1" x14ac:dyDescent="0.3">
      <c r="B13" s="12">
        <v>45725</v>
      </c>
      <c r="C13" s="82">
        <v>89.136200000000002</v>
      </c>
      <c r="D13" s="41"/>
      <c r="F13" s="18"/>
      <c r="G13" s="41"/>
      <c r="N13" s="40"/>
    </row>
    <row r="14" spans="1:14" ht="16.5" hidden="1" outlineLevel="1" thickBot="1" x14ac:dyDescent="0.3">
      <c r="A14" s="11">
        <v>6</v>
      </c>
      <c r="B14" s="12">
        <v>45726</v>
      </c>
      <c r="C14" s="82">
        <v>89.136200000000002</v>
      </c>
      <c r="D14" s="41">
        <v>9547</v>
      </c>
      <c r="E14" s="13">
        <f t="shared" si="1"/>
        <v>843832.59840000002</v>
      </c>
      <c r="F14" s="18">
        <v>2716</v>
      </c>
      <c r="G14" s="41"/>
      <c r="N14" s="40"/>
    </row>
    <row r="15" spans="1:14" ht="16.5" hidden="1" outlineLevel="1" thickBot="1" x14ac:dyDescent="0.3">
      <c r="A15" s="11">
        <v>7</v>
      </c>
      <c r="B15" s="12">
        <v>45727</v>
      </c>
      <c r="C15" s="82">
        <v>88.387200000000007</v>
      </c>
      <c r="D15" s="41">
        <v>9628</v>
      </c>
      <c r="E15" s="13">
        <f t="shared" si="1"/>
        <v>833466.11320000002</v>
      </c>
      <c r="F15" s="18">
        <v>2725</v>
      </c>
      <c r="G15" s="41"/>
      <c r="N15" s="40"/>
    </row>
    <row r="16" spans="1:14" ht="16.5" hidden="1" outlineLevel="1" thickBot="1" x14ac:dyDescent="0.3">
      <c r="A16" s="11">
        <v>8</v>
      </c>
      <c r="B16" s="12">
        <v>45728</v>
      </c>
      <c r="C16" s="82">
        <v>86.566900000000004</v>
      </c>
      <c r="D16" s="41">
        <v>9766</v>
      </c>
      <c r="E16" s="13">
        <f t="shared" si="1"/>
        <v>845934.82640000002</v>
      </c>
      <c r="F16" s="18">
        <v>2737</v>
      </c>
      <c r="G16" s="41"/>
      <c r="N16" s="40"/>
    </row>
    <row r="17" spans="1:14" ht="16.5" hidden="1" outlineLevel="1" thickBot="1" x14ac:dyDescent="0.3">
      <c r="A17" s="11">
        <v>9</v>
      </c>
      <c r="B17" s="12">
        <v>45729</v>
      </c>
      <c r="C17" s="82">
        <v>86.620400000000004</v>
      </c>
      <c r="D17" s="41">
        <v>9702.5</v>
      </c>
      <c r="E17" s="13">
        <f t="shared" si="1"/>
        <v>840420.84750000003</v>
      </c>
      <c r="F17" s="18">
        <v>2694</v>
      </c>
      <c r="G17" s="41"/>
      <c r="N17" s="40"/>
    </row>
    <row r="18" spans="1:14" ht="16.5" hidden="1" outlineLevel="1" thickBot="1" x14ac:dyDescent="0.3">
      <c r="A18" s="11">
        <v>10</v>
      </c>
      <c r="B18" s="12">
        <v>45730</v>
      </c>
      <c r="C18" s="82">
        <v>86.619</v>
      </c>
      <c r="D18" s="41">
        <v>9759</v>
      </c>
      <c r="E18" s="13">
        <f t="shared" si="1"/>
        <v>835071.7746</v>
      </c>
      <c r="F18" s="18">
        <v>2713</v>
      </c>
      <c r="G18" s="41"/>
      <c r="N18" s="40"/>
    </row>
    <row r="19" spans="1:14" ht="16.5" hidden="1" outlineLevel="1" thickBot="1" x14ac:dyDescent="0.3">
      <c r="B19" s="12">
        <v>45731</v>
      </c>
      <c r="C19" s="82">
        <v>85.569400000000002</v>
      </c>
      <c r="D19" s="41"/>
      <c r="F19" s="18"/>
      <c r="G19" s="41"/>
      <c r="N19" s="40"/>
    </row>
    <row r="20" spans="1:14" ht="16.5" hidden="1" outlineLevel="1" thickBot="1" x14ac:dyDescent="0.3">
      <c r="B20" s="12">
        <v>45732</v>
      </c>
      <c r="C20" s="82">
        <v>85.569400000000002</v>
      </c>
      <c r="D20" s="41"/>
      <c r="F20" s="18"/>
      <c r="G20" s="41"/>
      <c r="N20" s="40"/>
    </row>
    <row r="21" spans="1:14" ht="16.5" hidden="1" outlineLevel="1" thickBot="1" x14ac:dyDescent="0.3">
      <c r="A21" s="11">
        <v>11</v>
      </c>
      <c r="B21" s="12">
        <v>45733</v>
      </c>
      <c r="C21" s="82">
        <v>85.569400000000002</v>
      </c>
      <c r="D21" s="41">
        <v>9748</v>
      </c>
      <c r="E21" s="13">
        <f t="shared" si="1"/>
        <v>821813.91319999995</v>
      </c>
      <c r="F21" s="18">
        <v>2715</v>
      </c>
      <c r="G21" s="41"/>
      <c r="N21" s="40"/>
    </row>
    <row r="22" spans="1:14" ht="16.5" hidden="1" outlineLevel="1" thickBot="1" x14ac:dyDescent="0.3">
      <c r="A22" s="11">
        <v>12</v>
      </c>
      <c r="B22" s="12">
        <v>45734</v>
      </c>
      <c r="C22" s="82">
        <v>84.305899999999994</v>
      </c>
      <c r="D22" s="41">
        <v>9834</v>
      </c>
      <c r="E22" s="13">
        <f t="shared" si="1"/>
        <v>801488.70120000001</v>
      </c>
      <c r="F22" s="18">
        <v>2681</v>
      </c>
      <c r="G22" s="41"/>
      <c r="N22" s="40"/>
    </row>
    <row r="23" spans="1:14" ht="16.5" hidden="1" outlineLevel="1" thickBot="1" x14ac:dyDescent="0.3">
      <c r="A23" s="11">
        <v>13</v>
      </c>
      <c r="B23" s="12">
        <v>45735</v>
      </c>
      <c r="C23" s="82">
        <v>81.501800000000003</v>
      </c>
      <c r="D23" s="41">
        <v>9914</v>
      </c>
      <c r="E23" s="13">
        <f t="shared" si="1"/>
        <v>821362.01179999998</v>
      </c>
      <c r="F23" s="18">
        <v>2687</v>
      </c>
      <c r="G23" s="41"/>
      <c r="N23" s="40"/>
    </row>
    <row r="24" spans="1:14" ht="16.5" hidden="1" outlineLevel="1" thickBot="1" x14ac:dyDescent="0.3">
      <c r="A24" s="11">
        <v>14</v>
      </c>
      <c r="B24" s="12">
        <v>45736</v>
      </c>
      <c r="C24" s="82">
        <v>82.848699999999994</v>
      </c>
      <c r="D24" s="41">
        <v>9911.5</v>
      </c>
      <c r="E24" s="13">
        <f t="shared" si="1"/>
        <v>836485.99824999995</v>
      </c>
      <c r="F24" s="18">
        <v>2685.5</v>
      </c>
      <c r="G24" s="41"/>
      <c r="I24" s="23"/>
      <c r="J24" s="11"/>
      <c r="K24" s="11"/>
      <c r="L24" s="11"/>
      <c r="N24" s="40"/>
    </row>
    <row r="25" spans="1:14" ht="16.5" hidden="1" outlineLevel="1" thickBot="1" x14ac:dyDescent="0.3">
      <c r="A25" s="11">
        <v>15</v>
      </c>
      <c r="B25" s="12">
        <v>45737</v>
      </c>
      <c r="C25" s="82">
        <v>84.395499999999998</v>
      </c>
      <c r="D25" s="41">
        <v>9829</v>
      </c>
      <c r="E25" s="13">
        <f t="shared" si="1"/>
        <v>831926.56</v>
      </c>
      <c r="F25" s="18">
        <v>2652</v>
      </c>
      <c r="G25" s="41"/>
      <c r="N25" s="40"/>
    </row>
    <row r="26" spans="1:14" ht="16.5" hidden="1" outlineLevel="1" thickBot="1" x14ac:dyDescent="0.3">
      <c r="B26" s="12">
        <v>45738</v>
      </c>
      <c r="C26" s="82">
        <v>84.64</v>
      </c>
      <c r="D26" s="41"/>
      <c r="F26" s="18"/>
      <c r="G26" s="41"/>
      <c r="N26" s="40"/>
    </row>
    <row r="27" spans="1:14" ht="16.5" hidden="1" outlineLevel="1" thickBot="1" x14ac:dyDescent="0.3">
      <c r="B27" s="12">
        <v>45739</v>
      </c>
      <c r="C27" s="82">
        <v>84.64</v>
      </c>
      <c r="D27" s="41"/>
      <c r="F27" s="18"/>
      <c r="G27" s="41"/>
      <c r="N27" s="40"/>
    </row>
    <row r="28" spans="1:14" ht="16.5" hidden="1" outlineLevel="1" thickBot="1" x14ac:dyDescent="0.3">
      <c r="A28" s="11">
        <v>16</v>
      </c>
      <c r="B28" s="12">
        <v>45740</v>
      </c>
      <c r="C28" s="82">
        <v>84.64</v>
      </c>
      <c r="D28" s="41">
        <v>9978</v>
      </c>
      <c r="E28" s="13">
        <f t="shared" si="1"/>
        <v>836891.77859999996</v>
      </c>
      <c r="F28" s="18">
        <v>2640.5</v>
      </c>
      <c r="G28" s="41"/>
      <c r="N28" s="40"/>
    </row>
    <row r="29" spans="1:14" ht="16.5" hidden="1" outlineLevel="1" thickBot="1" x14ac:dyDescent="0.3">
      <c r="A29" s="11">
        <v>17</v>
      </c>
      <c r="B29" s="12">
        <v>45741</v>
      </c>
      <c r="C29" s="82">
        <v>83.873699999999999</v>
      </c>
      <c r="D29" s="41">
        <v>9982</v>
      </c>
      <c r="E29" s="13">
        <f t="shared" si="1"/>
        <v>840414.52599999995</v>
      </c>
      <c r="F29" s="18">
        <v>2608</v>
      </c>
      <c r="G29" s="41"/>
      <c r="M29" s="11"/>
      <c r="N29" s="40"/>
    </row>
    <row r="30" spans="1:14" ht="16.5" hidden="1" outlineLevel="1" thickBot="1" x14ac:dyDescent="0.3">
      <c r="A30" s="11">
        <v>18</v>
      </c>
      <c r="B30" s="12">
        <v>45742</v>
      </c>
      <c r="C30" s="82">
        <v>84.192999999999998</v>
      </c>
      <c r="D30" s="41">
        <v>9884</v>
      </c>
      <c r="E30" s="13">
        <f t="shared" si="1"/>
        <v>832297.04600000009</v>
      </c>
      <c r="F30" s="18">
        <v>2600</v>
      </c>
      <c r="G30" s="41"/>
      <c r="N30" s="40"/>
    </row>
    <row r="31" spans="1:14" ht="16.5" hidden="1" outlineLevel="1" thickBot="1" x14ac:dyDescent="0.3">
      <c r="A31" s="11">
        <v>19</v>
      </c>
      <c r="B31" s="12">
        <v>45743</v>
      </c>
      <c r="C31" s="82">
        <v>84.206500000000005</v>
      </c>
      <c r="D31" s="41">
        <v>9787</v>
      </c>
      <c r="E31" s="13">
        <f>D31*C32</f>
        <v>820490.20889999997</v>
      </c>
      <c r="F31" s="18">
        <v>2557</v>
      </c>
      <c r="G31" s="41">
        <f>F31*C32</f>
        <v>214365.3279</v>
      </c>
      <c r="N31" s="40"/>
    </row>
    <row r="32" spans="1:14" ht="16.5" hidden="1" outlineLevel="1" thickBot="1" x14ac:dyDescent="0.3">
      <c r="A32" s="11">
        <v>20</v>
      </c>
      <c r="B32" s="12">
        <v>45744</v>
      </c>
      <c r="C32" s="82">
        <v>83.834699999999998</v>
      </c>
      <c r="D32" s="41">
        <v>9795</v>
      </c>
      <c r="E32" s="13">
        <f>D32*C33</f>
        <v>819658.33349999995</v>
      </c>
      <c r="F32" s="18">
        <v>2559</v>
      </c>
      <c r="G32" s="41">
        <f>F32*C33</f>
        <v>214140.44669999997</v>
      </c>
      <c r="N32" s="40"/>
    </row>
    <row r="33" spans="1:14" ht="16.5" hidden="1" outlineLevel="1" thickBot="1" x14ac:dyDescent="0.3">
      <c r="B33" s="12">
        <v>45745</v>
      </c>
      <c r="C33" s="82">
        <v>83.681299999999993</v>
      </c>
      <c r="D33" s="41"/>
      <c r="F33" s="18"/>
      <c r="G33" s="41"/>
      <c r="N33" s="40"/>
    </row>
    <row r="34" spans="1:14" ht="16.5" hidden="1" outlineLevel="1" thickBot="1" x14ac:dyDescent="0.3">
      <c r="B34" s="12">
        <v>45746</v>
      </c>
      <c r="C34" s="82">
        <v>83.681299999999993</v>
      </c>
      <c r="D34" s="41"/>
      <c r="F34" s="18"/>
      <c r="G34" s="41"/>
      <c r="N34" s="40"/>
    </row>
    <row r="35" spans="1:14" ht="16.5" hidden="1" outlineLevel="1" thickBot="1" x14ac:dyDescent="0.3">
      <c r="A35" s="11">
        <v>21</v>
      </c>
      <c r="B35" s="12">
        <v>45747</v>
      </c>
      <c r="C35" s="82">
        <v>83.681299999999993</v>
      </c>
      <c r="D35" s="45">
        <v>9673</v>
      </c>
      <c r="E35" s="13">
        <f>D35*C38</f>
        <v>827005.70990000002</v>
      </c>
      <c r="F35" s="19">
        <v>2518.5</v>
      </c>
      <c r="G35" s="41"/>
      <c r="N35" s="40"/>
    </row>
    <row r="36" spans="1:14" ht="16.5" hidden="1" outlineLevel="1" thickBot="1" x14ac:dyDescent="0.3">
      <c r="C36" s="82"/>
      <c r="F36" s="64"/>
      <c r="G36" s="41"/>
      <c r="N36" s="40"/>
    </row>
    <row r="37" spans="1:14" s="21" customFormat="1" ht="24" customHeight="1" collapsed="1" thickBot="1" x14ac:dyDescent="0.4">
      <c r="A37" s="268" t="s">
        <v>29</v>
      </c>
      <c r="B37" s="269"/>
      <c r="C37" s="80">
        <f>SUM(C38:C67)/30</f>
        <v>83.650333333333307</v>
      </c>
      <c r="D37" s="202">
        <v>9192.1299999999992</v>
      </c>
      <c r="E37" s="31">
        <f>SUM(E38:E67)/20</f>
        <v>771790.81902749999</v>
      </c>
      <c r="F37" s="220">
        <f>SUM(F38:F67)/20</f>
        <v>2385.5</v>
      </c>
      <c r="G37" s="75">
        <f>SUM(G38:G67)/20</f>
        <v>200335.0068875</v>
      </c>
      <c r="H37" s="93"/>
      <c r="I37" s="25">
        <f>((D37-200)*C37*1.2+100000)/1000</f>
        <v>1002.6336062519996</v>
      </c>
      <c r="J37" s="25">
        <f>(F37*C37*1.2+125000)/1000</f>
        <v>364.45744419999988</v>
      </c>
      <c r="K37" s="20"/>
      <c r="L37" s="20"/>
      <c r="M37" s="20"/>
      <c r="N37" s="40"/>
    </row>
    <row r="38" spans="1:14" hidden="1" outlineLevel="1" x14ac:dyDescent="0.25">
      <c r="A38" s="34">
        <v>1</v>
      </c>
      <c r="B38" s="35">
        <v>45748</v>
      </c>
      <c r="C38" s="83">
        <v>85.496300000000005</v>
      </c>
      <c r="D38" s="203">
        <v>9652</v>
      </c>
      <c r="E38" s="36">
        <f>D38*C39</f>
        <v>819171.99639999995</v>
      </c>
      <c r="F38" s="221">
        <v>2499</v>
      </c>
      <c r="G38" s="37">
        <f>F38*C39</f>
        <v>212091.8793</v>
      </c>
      <c r="N38" s="40"/>
    </row>
    <row r="39" spans="1:14" hidden="1" outlineLevel="1" x14ac:dyDescent="0.25">
      <c r="A39" s="38">
        <v>2</v>
      </c>
      <c r="B39" s="39">
        <v>45749</v>
      </c>
      <c r="C39" s="82">
        <v>84.870699999999999</v>
      </c>
      <c r="D39" s="204">
        <v>9646</v>
      </c>
      <c r="E39" s="40">
        <f t="shared" ref="E39:E41" si="2">D39*C40</f>
        <v>815590.52119999996</v>
      </c>
      <c r="F39" s="222">
        <v>2480</v>
      </c>
      <c r="G39" s="41">
        <f t="shared" ref="G39:G66" si="3">F39*C40</f>
        <v>209689.45600000001</v>
      </c>
      <c r="N39" s="40"/>
    </row>
    <row r="40" spans="1:14" hidden="1" outlineLevel="1" x14ac:dyDescent="0.25">
      <c r="A40" s="38">
        <v>3</v>
      </c>
      <c r="B40" s="39">
        <v>45750</v>
      </c>
      <c r="C40" s="82">
        <v>84.552199999999999</v>
      </c>
      <c r="D40" s="204">
        <v>9397</v>
      </c>
      <c r="E40" s="40">
        <f t="shared" si="2"/>
        <v>886917.05099999998</v>
      </c>
      <c r="F40" s="222">
        <v>2436.5</v>
      </c>
      <c r="G40" s="41">
        <f t="shared" si="3"/>
        <v>229964.1795</v>
      </c>
      <c r="N40" s="40"/>
    </row>
    <row r="41" spans="1:14" hidden="1" outlineLevel="1" x14ac:dyDescent="0.25">
      <c r="A41" s="38">
        <v>4</v>
      </c>
      <c r="B41" s="39">
        <v>45751</v>
      </c>
      <c r="C41" s="82">
        <v>94.382999999999996</v>
      </c>
      <c r="D41" s="204">
        <v>8830.5</v>
      </c>
      <c r="E41" s="40">
        <f t="shared" si="2"/>
        <v>744211.58070000005</v>
      </c>
      <c r="F41" s="222">
        <v>2355.5</v>
      </c>
      <c r="G41" s="41">
        <f t="shared" si="3"/>
        <v>198515.41570000001</v>
      </c>
      <c r="N41" s="40"/>
    </row>
    <row r="42" spans="1:14" hidden="1" outlineLevel="1" x14ac:dyDescent="0.25">
      <c r="A42" s="38"/>
      <c r="B42" s="39">
        <v>45752</v>
      </c>
      <c r="C42" s="82">
        <v>84.2774</v>
      </c>
      <c r="D42" s="204"/>
      <c r="E42" s="40"/>
      <c r="F42" s="222"/>
      <c r="G42" s="41"/>
      <c r="N42" s="40"/>
    </row>
    <row r="43" spans="1:14" hidden="1" outlineLevel="1" x14ac:dyDescent="0.25">
      <c r="A43" s="38"/>
      <c r="B43" s="39">
        <v>45753</v>
      </c>
      <c r="C43" s="82">
        <v>84.2774</v>
      </c>
      <c r="D43" s="204"/>
      <c r="E43" s="40"/>
      <c r="F43" s="222"/>
      <c r="G43" s="41"/>
      <c r="N43" s="40"/>
    </row>
    <row r="44" spans="1:14" hidden="1" outlineLevel="1" x14ac:dyDescent="0.25">
      <c r="A44" s="38">
        <v>5</v>
      </c>
      <c r="B44" s="39">
        <v>45754</v>
      </c>
      <c r="C44" s="82">
        <v>84.2774</v>
      </c>
      <c r="D44" s="204">
        <v>8825</v>
      </c>
      <c r="E44" s="40">
        <f>D44*C45</f>
        <v>760618.8075</v>
      </c>
      <c r="F44" s="222">
        <v>2350</v>
      </c>
      <c r="G44" s="41">
        <f t="shared" si="3"/>
        <v>202544.38499999998</v>
      </c>
      <c r="N44" s="40"/>
    </row>
    <row r="45" spans="1:14" hidden="1" outlineLevel="1" x14ac:dyDescent="0.25">
      <c r="A45" s="38">
        <v>6</v>
      </c>
      <c r="B45" s="39">
        <v>45755</v>
      </c>
      <c r="C45" s="82">
        <v>86.189099999999996</v>
      </c>
      <c r="D45" s="204">
        <v>8760</v>
      </c>
      <c r="E45" s="40">
        <f t="shared" ref="E45:E66" si="4">D45*C46</f>
        <v>748665.51600000006</v>
      </c>
      <c r="F45" s="222">
        <v>2366</v>
      </c>
      <c r="G45" s="41">
        <f t="shared" si="3"/>
        <v>202208.0606</v>
      </c>
      <c r="N45" s="40"/>
    </row>
    <row r="46" spans="1:14" hidden="1" outlineLevel="1" x14ac:dyDescent="0.25">
      <c r="A46" s="38">
        <v>7</v>
      </c>
      <c r="B46" s="39">
        <v>45756</v>
      </c>
      <c r="C46" s="82">
        <v>85.464100000000002</v>
      </c>
      <c r="D46" s="204">
        <v>8539</v>
      </c>
      <c r="E46" s="40">
        <f t="shared" si="4"/>
        <v>735142.14969999995</v>
      </c>
      <c r="F46" s="222">
        <v>2285</v>
      </c>
      <c r="G46" s="41">
        <f t="shared" si="3"/>
        <v>196720.90549999999</v>
      </c>
      <c r="N46" s="40"/>
    </row>
    <row r="47" spans="1:14" hidden="1" outlineLevel="1" x14ac:dyDescent="0.25">
      <c r="A47" s="38">
        <v>8</v>
      </c>
      <c r="B47" s="39">
        <v>45757</v>
      </c>
      <c r="C47" s="82">
        <v>86.092299999999994</v>
      </c>
      <c r="D47" s="204">
        <v>8978</v>
      </c>
      <c r="E47" s="40">
        <f t="shared" si="4"/>
        <v>763272.75020000001</v>
      </c>
      <c r="F47" s="222">
        <v>2343.5</v>
      </c>
      <c r="G47" s="41">
        <f t="shared" si="3"/>
        <v>199234.76165</v>
      </c>
      <c r="N47" s="40"/>
    </row>
    <row r="48" spans="1:14" hidden="1" outlineLevel="1" x14ac:dyDescent="0.25">
      <c r="A48" s="38">
        <v>9</v>
      </c>
      <c r="B48" s="39">
        <v>45758</v>
      </c>
      <c r="C48" s="82">
        <v>85.015900000000002</v>
      </c>
      <c r="D48" s="204">
        <v>9180</v>
      </c>
      <c r="E48" s="40">
        <f t="shared" si="4"/>
        <v>771156.72000000009</v>
      </c>
      <c r="F48" s="222">
        <v>2364</v>
      </c>
      <c r="G48" s="41">
        <f t="shared" si="3"/>
        <v>198585.45600000001</v>
      </c>
      <c r="N48" s="40"/>
    </row>
    <row r="49" spans="1:14" hidden="1" outlineLevel="1" x14ac:dyDescent="0.25">
      <c r="A49" s="38"/>
      <c r="B49" s="39">
        <v>45759</v>
      </c>
      <c r="C49" s="82">
        <v>84.004000000000005</v>
      </c>
      <c r="D49" s="204"/>
      <c r="E49" s="40"/>
      <c r="F49" s="222"/>
      <c r="G49" s="41"/>
      <c r="N49" s="40"/>
    </row>
    <row r="50" spans="1:14" hidden="1" outlineLevel="1" x14ac:dyDescent="0.25">
      <c r="A50" s="38"/>
      <c r="B50" s="39">
        <v>45760</v>
      </c>
      <c r="C50" s="82">
        <v>84.004000000000005</v>
      </c>
      <c r="D50" s="204"/>
      <c r="E50" s="40"/>
      <c r="F50" s="222"/>
      <c r="G50" s="41"/>
      <c r="N50" s="40"/>
    </row>
    <row r="51" spans="1:14" hidden="1" outlineLevel="1" x14ac:dyDescent="0.25">
      <c r="A51" s="38">
        <v>10</v>
      </c>
      <c r="B51" s="39">
        <v>45761</v>
      </c>
      <c r="C51" s="82">
        <v>84.004000000000005</v>
      </c>
      <c r="D51" s="204">
        <v>9212.5</v>
      </c>
      <c r="E51" s="40">
        <f t="shared" si="4"/>
        <v>762491.90874999994</v>
      </c>
      <c r="F51" s="222">
        <v>2399</v>
      </c>
      <c r="G51" s="41">
        <f t="shared" si="3"/>
        <v>198558.27290000001</v>
      </c>
      <c r="N51" s="40"/>
    </row>
    <row r="52" spans="1:14" hidden="1" outlineLevel="1" x14ac:dyDescent="0.25">
      <c r="A52" s="38">
        <v>11</v>
      </c>
      <c r="B52" s="39">
        <v>45762</v>
      </c>
      <c r="C52" s="82">
        <v>82.767099999999999</v>
      </c>
      <c r="D52" s="204">
        <v>9094</v>
      </c>
      <c r="E52" s="40">
        <f t="shared" si="4"/>
        <v>748438.92819999997</v>
      </c>
      <c r="F52" s="222">
        <v>2375</v>
      </c>
      <c r="G52" s="41">
        <f t="shared" si="3"/>
        <v>195463.21249999999</v>
      </c>
      <c r="N52" s="40"/>
    </row>
    <row r="53" spans="1:14" hidden="1" outlineLevel="1" x14ac:dyDescent="0.25">
      <c r="A53" s="38">
        <v>12</v>
      </c>
      <c r="B53" s="39">
        <v>45763</v>
      </c>
      <c r="C53" s="82">
        <v>82.300299999999993</v>
      </c>
      <c r="D53" s="204">
        <v>9083</v>
      </c>
      <c r="E53" s="40">
        <f t="shared" si="4"/>
        <v>750157.70360000001</v>
      </c>
      <c r="F53" s="222">
        <v>2332.5</v>
      </c>
      <c r="G53" s="41">
        <f t="shared" si="3"/>
        <v>192639.30900000001</v>
      </c>
      <c r="N53" s="40"/>
    </row>
    <row r="54" spans="1:14" hidden="1" outlineLevel="1" x14ac:dyDescent="0.25">
      <c r="A54" s="38">
        <v>13</v>
      </c>
      <c r="B54" s="39">
        <v>45764</v>
      </c>
      <c r="C54" s="82">
        <v>82.589200000000005</v>
      </c>
      <c r="D54" s="204">
        <v>9104</v>
      </c>
      <c r="E54" s="40">
        <f t="shared" si="4"/>
        <v>746710.08</v>
      </c>
      <c r="F54" s="222">
        <v>2327.5</v>
      </c>
      <c r="G54" s="41">
        <f t="shared" si="3"/>
        <v>190901.55</v>
      </c>
      <c r="N54" s="40"/>
    </row>
    <row r="55" spans="1:14" hidden="1" outlineLevel="1" x14ac:dyDescent="0.25">
      <c r="A55" s="38"/>
      <c r="B55" s="39">
        <v>45765</v>
      </c>
      <c r="C55" s="82">
        <v>82.02</v>
      </c>
      <c r="D55" s="204"/>
      <c r="E55" s="40">
        <f t="shared" si="4"/>
        <v>0</v>
      </c>
      <c r="F55" s="222"/>
      <c r="G55" s="41">
        <f t="shared" si="3"/>
        <v>0</v>
      </c>
      <c r="N55" s="40"/>
    </row>
    <row r="56" spans="1:14" hidden="1" outlineLevel="1" x14ac:dyDescent="0.25">
      <c r="A56" s="38"/>
      <c r="B56" s="39">
        <v>45766</v>
      </c>
      <c r="C56" s="82">
        <v>81.137100000000004</v>
      </c>
      <c r="D56" s="204"/>
      <c r="E56" s="40"/>
      <c r="F56" s="222"/>
      <c r="G56" s="41"/>
      <c r="N56" s="40"/>
    </row>
    <row r="57" spans="1:14" hidden="1" outlineLevel="1" x14ac:dyDescent="0.25">
      <c r="A57" s="38"/>
      <c r="B57" s="39">
        <v>45767</v>
      </c>
      <c r="C57" s="82">
        <v>81.137100000000004</v>
      </c>
      <c r="D57" s="204"/>
      <c r="E57" s="40"/>
      <c r="F57" s="222"/>
      <c r="G57" s="41"/>
      <c r="N57" s="40"/>
    </row>
    <row r="58" spans="1:14" hidden="1" outlineLevel="1" x14ac:dyDescent="0.25">
      <c r="A58" s="38"/>
      <c r="B58" s="39">
        <v>45768</v>
      </c>
      <c r="C58" s="82">
        <v>81.137100000000004</v>
      </c>
      <c r="D58" s="204"/>
      <c r="E58" s="40">
        <f t="shared" ref="E58" si="5">D58*C59</f>
        <v>0</v>
      </c>
      <c r="F58" s="222"/>
      <c r="G58" s="41">
        <f t="shared" ref="G58" si="6">F58*C59</f>
        <v>0</v>
      </c>
      <c r="N58" s="40"/>
    </row>
    <row r="59" spans="1:14" hidden="1" outlineLevel="1" x14ac:dyDescent="0.25">
      <c r="A59" s="38">
        <v>14</v>
      </c>
      <c r="B59" s="39">
        <v>45769</v>
      </c>
      <c r="C59" s="82">
        <v>80.759699999999995</v>
      </c>
      <c r="D59" s="204">
        <v>9293.5</v>
      </c>
      <c r="E59" s="40">
        <f t="shared" si="4"/>
        <v>757067.09700000007</v>
      </c>
      <c r="F59" s="222">
        <v>2355.5</v>
      </c>
      <c r="G59" s="41">
        <f t="shared" si="3"/>
        <v>191883.74100000001</v>
      </c>
      <c r="N59" s="40"/>
    </row>
    <row r="60" spans="1:14" hidden="1" outlineLevel="1" x14ac:dyDescent="0.25">
      <c r="A60" s="38">
        <v>15</v>
      </c>
      <c r="B60" s="39">
        <v>45770</v>
      </c>
      <c r="C60" s="82">
        <v>81.462000000000003</v>
      </c>
      <c r="D60" s="204">
        <v>9416.5</v>
      </c>
      <c r="E60" s="40">
        <f t="shared" si="4"/>
        <v>775577.78104999999</v>
      </c>
      <c r="F60" s="222">
        <v>2384</v>
      </c>
      <c r="G60" s="41">
        <f t="shared" si="3"/>
        <v>196355.06079999998</v>
      </c>
      <c r="N60" s="40"/>
    </row>
    <row r="61" spans="1:14" hidden="1" outlineLevel="1" x14ac:dyDescent="0.25">
      <c r="A61" s="38">
        <v>16</v>
      </c>
      <c r="B61" s="39">
        <v>45771</v>
      </c>
      <c r="C61" s="82">
        <v>82.363699999999994</v>
      </c>
      <c r="D61" s="204">
        <v>9410.5</v>
      </c>
      <c r="E61" s="40">
        <f t="shared" si="4"/>
        <v>779715.44695000001</v>
      </c>
      <c r="F61" s="222">
        <v>2410</v>
      </c>
      <c r="G61" s="41">
        <f t="shared" si="3"/>
        <v>199682.71900000001</v>
      </c>
      <c r="N61" s="40"/>
    </row>
    <row r="62" spans="1:14" hidden="1" outlineLevel="1" x14ac:dyDescent="0.25">
      <c r="A62" s="38">
        <v>17</v>
      </c>
      <c r="B62" s="39">
        <v>45772</v>
      </c>
      <c r="C62" s="82">
        <v>82.855900000000005</v>
      </c>
      <c r="D62" s="204">
        <v>9364</v>
      </c>
      <c r="E62" s="40">
        <f t="shared" si="4"/>
        <v>773980.48360000004</v>
      </c>
      <c r="F62" s="222">
        <v>2412</v>
      </c>
      <c r="G62" s="41">
        <f t="shared" si="3"/>
        <v>199363.6188</v>
      </c>
      <c r="N62" s="40"/>
    </row>
    <row r="63" spans="1:14" hidden="1" outlineLevel="1" x14ac:dyDescent="0.25">
      <c r="A63" s="38"/>
      <c r="B63" s="39">
        <v>45773</v>
      </c>
      <c r="C63" s="82">
        <v>82.654899999999998</v>
      </c>
      <c r="D63" s="204"/>
      <c r="E63" s="40"/>
      <c r="F63" s="222"/>
      <c r="G63" s="41"/>
      <c r="N63" s="40"/>
    </row>
    <row r="64" spans="1:14" hidden="1" outlineLevel="1" x14ac:dyDescent="0.25">
      <c r="A64" s="38"/>
      <c r="B64" s="39">
        <v>45774</v>
      </c>
      <c r="C64" s="82">
        <v>82.654899999999998</v>
      </c>
      <c r="D64" s="204"/>
      <c r="E64" s="40"/>
      <c r="F64" s="222"/>
      <c r="G64" s="41"/>
      <c r="N64" s="40"/>
    </row>
    <row r="65" spans="1:14" hidden="1" outlineLevel="1" x14ac:dyDescent="0.25">
      <c r="A65" s="38">
        <v>18</v>
      </c>
      <c r="B65" s="39">
        <v>45775</v>
      </c>
      <c r="C65" s="82">
        <v>82.654899999999998</v>
      </c>
      <c r="D65" s="204">
        <v>9365</v>
      </c>
      <c r="E65" s="40">
        <f t="shared" si="4"/>
        <v>773049.84550000005</v>
      </c>
      <c r="F65" s="222">
        <v>2400</v>
      </c>
      <c r="G65" s="41">
        <f t="shared" si="3"/>
        <v>198112.08000000002</v>
      </c>
      <c r="N65" s="40"/>
    </row>
    <row r="66" spans="1:14" hidden="1" outlineLevel="1" x14ac:dyDescent="0.25">
      <c r="A66" s="38">
        <v>19</v>
      </c>
      <c r="B66" s="39">
        <v>45776</v>
      </c>
      <c r="C66" s="82">
        <v>82.546700000000001</v>
      </c>
      <c r="D66" s="204">
        <v>9487.5</v>
      </c>
      <c r="E66" s="40">
        <f t="shared" si="4"/>
        <v>773815.67999999993</v>
      </c>
      <c r="F66" s="222">
        <v>2430</v>
      </c>
      <c r="G66" s="41">
        <f t="shared" si="3"/>
        <v>198194.68799999999</v>
      </c>
      <c r="N66" s="40"/>
    </row>
    <row r="67" spans="1:14" ht="16.5" hidden="1" outlineLevel="1" thickBot="1" x14ac:dyDescent="0.3">
      <c r="A67" s="42">
        <v>20</v>
      </c>
      <c r="B67" s="43">
        <v>45777</v>
      </c>
      <c r="C67" s="84">
        <v>81.561599999999999</v>
      </c>
      <c r="D67" s="205">
        <v>9204</v>
      </c>
      <c r="E67" s="44">
        <f>D67*C70</f>
        <v>750064.33319999999</v>
      </c>
      <c r="F67" s="223">
        <v>2405</v>
      </c>
      <c r="G67" s="45">
        <f>F67*C70</f>
        <v>195991.38650000002</v>
      </c>
      <c r="N67" s="40"/>
    </row>
    <row r="68" spans="1:14" ht="16.5" hidden="1" outlineLevel="1" thickBot="1" x14ac:dyDescent="0.3">
      <c r="B68" s="12"/>
      <c r="C68" s="82"/>
      <c r="D68" s="204"/>
      <c r="F68" s="222"/>
      <c r="G68" s="41"/>
      <c r="N68" s="40"/>
    </row>
    <row r="69" spans="1:14" s="21" customFormat="1" ht="24" customHeight="1" collapsed="1" thickBot="1" x14ac:dyDescent="0.4">
      <c r="A69" s="268" t="s">
        <v>35</v>
      </c>
      <c r="B69" s="269"/>
      <c r="C69" s="80">
        <f>SUM(C70:C100)/31</f>
        <v>80.460296774193552</v>
      </c>
      <c r="D69" s="202">
        <v>9529.7800000000007</v>
      </c>
      <c r="E69" s="31">
        <f>SUM(E70:E99)/18</f>
        <v>766126.82206944434</v>
      </c>
      <c r="F69" s="220">
        <f>SUM(F70:F99)/18</f>
        <v>2440.8333333333335</v>
      </c>
      <c r="G69" s="75">
        <f>SUM(G70:G99)/18</f>
        <v>196392.9871361111</v>
      </c>
      <c r="H69" s="93"/>
      <c r="I69" s="25">
        <f>((D69-200)*C69*1.2+100000)/1000</f>
        <v>1000.8122411655226</v>
      </c>
      <c r="J69" s="25">
        <f>(F69*C69*1.2+125000)/1000</f>
        <v>360.66820925161289</v>
      </c>
      <c r="K69" s="20"/>
      <c r="L69" s="20"/>
      <c r="M69" s="20"/>
      <c r="N69" s="40"/>
    </row>
    <row r="70" spans="1:14" hidden="1" outlineLevel="1" x14ac:dyDescent="0.25">
      <c r="A70" s="53">
        <v>1</v>
      </c>
      <c r="B70" s="72">
        <v>45778</v>
      </c>
      <c r="C70" s="85">
        <v>81.493300000000005</v>
      </c>
      <c r="D70" s="77">
        <v>9195</v>
      </c>
      <c r="E70" s="192">
        <f>D70*C71</f>
        <v>749330.89350000001</v>
      </c>
      <c r="F70" s="65">
        <v>2377.5</v>
      </c>
      <c r="G70" s="209">
        <f>F70*C71</f>
        <v>193750.32075000001</v>
      </c>
      <c r="N70" s="40"/>
    </row>
    <row r="71" spans="1:14" hidden="1" outlineLevel="1" x14ac:dyDescent="0.25">
      <c r="A71" s="52">
        <v>2</v>
      </c>
      <c r="B71" s="73">
        <v>45779</v>
      </c>
      <c r="C71" s="86">
        <v>81.493300000000005</v>
      </c>
      <c r="D71" s="57">
        <v>9376</v>
      </c>
      <c r="E71" s="56">
        <f t="shared" ref="E71" si="7">D71*C72</f>
        <v>764081.18080000009</v>
      </c>
      <c r="F71" s="66">
        <v>2401.5</v>
      </c>
      <c r="G71" s="68">
        <f t="shared" ref="G71" si="8">F71*C72</f>
        <v>195706.15995</v>
      </c>
      <c r="K71" s="40"/>
      <c r="N71" s="40"/>
    </row>
    <row r="72" spans="1:14" hidden="1" outlineLevel="1" x14ac:dyDescent="0.25">
      <c r="A72" s="52"/>
      <c r="B72" s="73">
        <v>45780</v>
      </c>
      <c r="C72" s="86">
        <v>81.493300000000005</v>
      </c>
      <c r="D72" s="57"/>
      <c r="E72" s="56"/>
      <c r="F72" s="66"/>
      <c r="G72" s="68"/>
      <c r="J72" s="14">
        <v>1</v>
      </c>
      <c r="K72" s="40">
        <v>9364</v>
      </c>
      <c r="N72" s="40"/>
    </row>
    <row r="73" spans="1:14" hidden="1" outlineLevel="1" x14ac:dyDescent="0.25">
      <c r="A73" s="52"/>
      <c r="B73" s="73">
        <v>45781</v>
      </c>
      <c r="C73" s="86">
        <v>81.493300000000005</v>
      </c>
      <c r="D73" s="57"/>
      <c r="E73" s="56"/>
      <c r="F73" s="66"/>
      <c r="G73" s="68"/>
      <c r="J73" s="14">
        <v>2</v>
      </c>
      <c r="K73" s="13">
        <v>9195</v>
      </c>
      <c r="N73" s="40"/>
    </row>
    <row r="74" spans="1:14" hidden="1" outlineLevel="1" x14ac:dyDescent="0.25">
      <c r="A74" s="52"/>
      <c r="B74" s="73">
        <v>45782</v>
      </c>
      <c r="C74" s="86">
        <v>81.493300000000005</v>
      </c>
      <c r="D74" s="57"/>
      <c r="E74" s="56">
        <f t="shared" ref="E74:E75" si="9">D74*C75</f>
        <v>0</v>
      </c>
      <c r="F74" s="66"/>
      <c r="G74" s="68">
        <f t="shared" ref="G74:G78" si="10">F74*C75</f>
        <v>0</v>
      </c>
      <c r="J74" s="14">
        <v>3</v>
      </c>
      <c r="K74" s="13">
        <v>9376</v>
      </c>
      <c r="N74" s="40"/>
    </row>
    <row r="75" spans="1:14" hidden="1" outlineLevel="1" x14ac:dyDescent="0.25">
      <c r="A75" s="52">
        <v>3</v>
      </c>
      <c r="B75" s="73">
        <v>45783</v>
      </c>
      <c r="C75" s="86">
        <v>81.913700000000006</v>
      </c>
      <c r="D75" s="57">
        <v>9500</v>
      </c>
      <c r="E75" s="56">
        <f t="shared" si="9"/>
        <v>769161.79999999993</v>
      </c>
      <c r="F75" s="66">
        <v>2404</v>
      </c>
      <c r="G75" s="68">
        <f t="shared" si="10"/>
        <v>194638.41759999999</v>
      </c>
      <c r="J75" s="14">
        <v>4</v>
      </c>
      <c r="K75" s="13">
        <v>9500</v>
      </c>
      <c r="N75" s="40"/>
    </row>
    <row r="76" spans="1:14" hidden="1" outlineLevel="1" x14ac:dyDescent="0.25">
      <c r="A76" s="52">
        <v>4</v>
      </c>
      <c r="B76" s="73">
        <v>45784</v>
      </c>
      <c r="C76" s="86">
        <v>80.964399999999998</v>
      </c>
      <c r="D76" s="57">
        <v>9486</v>
      </c>
      <c r="E76" s="56">
        <f>D76*C77</f>
        <v>767049.3432</v>
      </c>
      <c r="F76" s="66">
        <v>2363.5</v>
      </c>
      <c r="G76" s="68">
        <f t="shared" si="10"/>
        <v>191115.44620000001</v>
      </c>
      <c r="J76" s="14">
        <v>5</v>
      </c>
      <c r="K76" s="13">
        <v>9486</v>
      </c>
      <c r="N76" s="40"/>
    </row>
    <row r="77" spans="1:14" hidden="1" outlineLevel="1" x14ac:dyDescent="0.25">
      <c r="A77" s="52">
        <v>5</v>
      </c>
      <c r="B77" s="73">
        <v>45785</v>
      </c>
      <c r="C77" s="86">
        <v>80.861199999999997</v>
      </c>
      <c r="D77" s="57">
        <v>9413</v>
      </c>
      <c r="E77" s="56">
        <f t="shared" ref="E77:E78" si="11">D77*C78</f>
        <v>761146.47560000001</v>
      </c>
      <c r="F77" s="66">
        <v>2363.5</v>
      </c>
      <c r="G77" s="68">
        <f t="shared" si="10"/>
        <v>191115.44620000001</v>
      </c>
      <c r="J77" s="14">
        <v>6</v>
      </c>
      <c r="K77" s="13">
        <v>9413</v>
      </c>
      <c r="N77" s="40"/>
    </row>
    <row r="78" spans="1:14" hidden="1" outlineLevel="1" x14ac:dyDescent="0.25">
      <c r="A78" s="52">
        <v>6</v>
      </c>
      <c r="B78" s="73">
        <v>45786</v>
      </c>
      <c r="C78" s="86">
        <v>80.861199999999997</v>
      </c>
      <c r="D78" s="57">
        <v>9485.5</v>
      </c>
      <c r="E78" s="56">
        <f t="shared" si="11"/>
        <v>767008.91259999992</v>
      </c>
      <c r="F78" s="66">
        <v>2401</v>
      </c>
      <c r="G78" s="68">
        <f t="shared" si="10"/>
        <v>194147.74119999999</v>
      </c>
      <c r="J78" s="14">
        <v>7</v>
      </c>
      <c r="K78" s="13">
        <v>9485.5</v>
      </c>
      <c r="N78" s="40"/>
    </row>
    <row r="79" spans="1:14" hidden="1" outlineLevel="1" x14ac:dyDescent="0.25">
      <c r="A79" s="52"/>
      <c r="B79" s="73">
        <v>45787</v>
      </c>
      <c r="C79" s="86">
        <v>80.861199999999997</v>
      </c>
      <c r="D79" s="57"/>
      <c r="E79" s="56"/>
      <c r="F79" s="66"/>
      <c r="G79" s="68"/>
      <c r="J79" s="14">
        <v>8</v>
      </c>
      <c r="K79" s="13">
        <v>9590</v>
      </c>
      <c r="N79" s="40"/>
    </row>
    <row r="80" spans="1:14" hidden="1" outlineLevel="1" x14ac:dyDescent="0.25">
      <c r="A80" s="52"/>
      <c r="B80" s="73">
        <v>45788</v>
      </c>
      <c r="C80" s="86">
        <v>80.861199999999997</v>
      </c>
      <c r="D80" s="57"/>
      <c r="E80" s="56"/>
      <c r="F80" s="66"/>
      <c r="G80" s="68"/>
      <c r="J80" s="14">
        <v>9</v>
      </c>
      <c r="K80" s="13">
        <v>9590</v>
      </c>
      <c r="N80" s="40"/>
    </row>
    <row r="81" spans="1:14" hidden="1" outlineLevel="1" x14ac:dyDescent="0.25">
      <c r="A81" s="52">
        <v>7</v>
      </c>
      <c r="B81" s="73">
        <v>45789</v>
      </c>
      <c r="C81" s="86">
        <v>80.861199999999997</v>
      </c>
      <c r="D81" s="57">
        <v>9590</v>
      </c>
      <c r="E81" s="56">
        <f t="shared" ref="E81:E85" si="12">D81*C82</f>
        <v>775718.79700000002</v>
      </c>
      <c r="F81" s="66">
        <v>2468.5</v>
      </c>
      <c r="G81" s="68">
        <f t="shared" ref="G81:G85" si="13">F81*C82</f>
        <v>199672.76855000001</v>
      </c>
      <c r="J81" s="14">
        <v>10</v>
      </c>
      <c r="K81" s="13">
        <v>9649.5</v>
      </c>
      <c r="N81" s="40"/>
    </row>
    <row r="82" spans="1:14" ht="18.75" hidden="1" outlineLevel="1" x14ac:dyDescent="0.3">
      <c r="A82" s="52">
        <v>8</v>
      </c>
      <c r="B82" s="73">
        <v>45790</v>
      </c>
      <c r="C82" s="86">
        <v>80.888300000000001</v>
      </c>
      <c r="D82" s="57">
        <v>9590</v>
      </c>
      <c r="E82" s="56">
        <f t="shared" si="12"/>
        <v>772474.5</v>
      </c>
      <c r="F82" s="66">
        <v>2470</v>
      </c>
      <c r="G82" s="68">
        <f t="shared" si="13"/>
        <v>198958.5</v>
      </c>
      <c r="K82" s="46">
        <f>SUM(K72:K81)/10</f>
        <v>9464.9</v>
      </c>
      <c r="N82" s="40"/>
    </row>
    <row r="83" spans="1:14" hidden="1" outlineLevel="1" x14ac:dyDescent="0.25">
      <c r="A83" s="52">
        <v>9</v>
      </c>
      <c r="B83" s="73">
        <v>45791</v>
      </c>
      <c r="C83" s="86">
        <v>80.55</v>
      </c>
      <c r="D83" s="57">
        <v>9649.5</v>
      </c>
      <c r="E83" s="56">
        <f t="shared" si="12"/>
        <v>774118.59314999997</v>
      </c>
      <c r="F83" s="66">
        <v>2530</v>
      </c>
      <c r="G83" s="68">
        <f t="shared" si="13"/>
        <v>202965.96099999998</v>
      </c>
      <c r="N83" s="40"/>
    </row>
    <row r="84" spans="1:14" hidden="1" outlineLevel="1" x14ac:dyDescent="0.25">
      <c r="A84" s="52">
        <v>10</v>
      </c>
      <c r="B84" s="73">
        <v>45792</v>
      </c>
      <c r="C84" s="86">
        <v>80.223699999999994</v>
      </c>
      <c r="D84" s="57">
        <v>9537.5</v>
      </c>
      <c r="E84" s="56">
        <f t="shared" si="12"/>
        <v>765989.05249999999</v>
      </c>
      <c r="F84" s="66">
        <v>2480.5</v>
      </c>
      <c r="G84" s="68">
        <f t="shared" si="13"/>
        <v>199217.38870000001</v>
      </c>
      <c r="N84" s="40"/>
    </row>
    <row r="85" spans="1:14" hidden="1" outlineLevel="1" x14ac:dyDescent="0.25">
      <c r="A85" s="52">
        <v>11</v>
      </c>
      <c r="B85" s="73">
        <v>45793</v>
      </c>
      <c r="C85" s="86">
        <v>80.313400000000001</v>
      </c>
      <c r="D85" s="57">
        <v>9534</v>
      </c>
      <c r="E85" s="56">
        <f t="shared" si="12"/>
        <v>770050.69260000007</v>
      </c>
      <c r="F85" s="66">
        <v>2473.5</v>
      </c>
      <c r="G85" s="68">
        <f t="shared" si="13"/>
        <v>199781.87415000002</v>
      </c>
      <c r="N85" s="40"/>
    </row>
    <row r="86" spans="1:14" hidden="1" outlineLevel="1" x14ac:dyDescent="0.25">
      <c r="A86" s="52"/>
      <c r="B86" s="73">
        <v>45794</v>
      </c>
      <c r="C86" s="86">
        <v>80.768900000000002</v>
      </c>
      <c r="D86" s="57"/>
      <c r="E86" s="56"/>
      <c r="F86" s="66"/>
      <c r="G86" s="68"/>
      <c r="N86" s="40"/>
    </row>
    <row r="87" spans="1:14" hidden="1" outlineLevel="1" x14ac:dyDescent="0.25">
      <c r="A87" s="52"/>
      <c r="B87" s="73">
        <v>45795</v>
      </c>
      <c r="C87" s="86">
        <v>80.768900000000002</v>
      </c>
      <c r="D87" s="57"/>
      <c r="E87" s="56"/>
      <c r="F87" s="66"/>
      <c r="G87" s="68"/>
      <c r="N87" s="40"/>
    </row>
    <row r="88" spans="1:14" hidden="1" outlineLevel="1" x14ac:dyDescent="0.25">
      <c r="A88" s="52">
        <v>12</v>
      </c>
      <c r="B88" s="73">
        <v>45796</v>
      </c>
      <c r="C88" s="86">
        <v>80.768900000000002</v>
      </c>
      <c r="D88" s="57">
        <v>9545</v>
      </c>
      <c r="E88" s="56">
        <f t="shared" ref="E88:E97" si="14">D88*C89</f>
        <v>767548.76650000003</v>
      </c>
      <c r="F88" s="66">
        <v>2450.5</v>
      </c>
      <c r="G88" s="68">
        <f t="shared" ref="G88:G97" si="15">F88*C89</f>
        <v>197053.77185000002</v>
      </c>
      <c r="N88" s="40"/>
    </row>
    <row r="89" spans="1:14" hidden="1" outlineLevel="1" x14ac:dyDescent="0.25">
      <c r="A89" s="52">
        <v>13</v>
      </c>
      <c r="B89" s="73">
        <v>45797</v>
      </c>
      <c r="C89" s="86">
        <v>80.413700000000006</v>
      </c>
      <c r="D89" s="57">
        <v>9530</v>
      </c>
      <c r="E89" s="56">
        <f t="shared" si="14"/>
        <v>765330.47500000009</v>
      </c>
      <c r="F89" s="66">
        <v>2458.5</v>
      </c>
      <c r="G89" s="68">
        <f t="shared" si="15"/>
        <v>197435.98875000002</v>
      </c>
      <c r="J89" s="22">
        <f>SUM(C74:C83)/10</f>
        <v>81.011569999999992</v>
      </c>
      <c r="N89" s="40"/>
    </row>
    <row r="90" spans="1:14" hidden="1" outlineLevel="1" x14ac:dyDescent="0.25">
      <c r="A90" s="52">
        <v>14</v>
      </c>
      <c r="B90" s="73">
        <v>45798</v>
      </c>
      <c r="C90" s="86">
        <v>80.307500000000005</v>
      </c>
      <c r="D90" s="57">
        <v>9532.5</v>
      </c>
      <c r="E90" s="56">
        <f t="shared" si="14"/>
        <v>760245.47250000003</v>
      </c>
      <c r="F90" s="66">
        <v>2460.5</v>
      </c>
      <c r="G90" s="68">
        <f t="shared" si="15"/>
        <v>196232.25649999999</v>
      </c>
      <c r="N90" s="40"/>
    </row>
    <row r="91" spans="1:14" hidden="1" outlineLevel="1" x14ac:dyDescent="0.25">
      <c r="A91" s="52">
        <v>15</v>
      </c>
      <c r="B91" s="73">
        <v>45799</v>
      </c>
      <c r="C91" s="86">
        <v>79.753</v>
      </c>
      <c r="D91" s="57">
        <v>9493</v>
      </c>
      <c r="E91" s="56">
        <f t="shared" si="14"/>
        <v>756931.00009999995</v>
      </c>
      <c r="F91" s="66">
        <v>2445.5</v>
      </c>
      <c r="G91" s="68">
        <f t="shared" si="15"/>
        <v>194993.65435</v>
      </c>
    </row>
    <row r="92" spans="1:14" hidden="1" outlineLevel="1" x14ac:dyDescent="0.25">
      <c r="A92" s="52">
        <v>16</v>
      </c>
      <c r="B92" s="73">
        <v>45800</v>
      </c>
      <c r="C92" s="86">
        <v>79.735699999999994</v>
      </c>
      <c r="D92" s="57">
        <v>9595</v>
      </c>
      <c r="E92" s="56">
        <f t="shared" si="14"/>
        <v>764825.12600000005</v>
      </c>
      <c r="F92" s="66">
        <v>2437</v>
      </c>
      <c r="G92" s="68">
        <f t="shared" si="15"/>
        <v>194255.21960000001</v>
      </c>
    </row>
    <row r="93" spans="1:14" hidden="1" outlineLevel="1" x14ac:dyDescent="0.25">
      <c r="A93" s="52"/>
      <c r="B93" s="73">
        <v>45801</v>
      </c>
      <c r="C93" s="86">
        <v>79.710800000000006</v>
      </c>
      <c r="D93" s="57"/>
      <c r="E93" s="56"/>
      <c r="F93" s="66"/>
      <c r="G93" s="68"/>
    </row>
    <row r="94" spans="1:14" hidden="1" outlineLevel="1" x14ac:dyDescent="0.25">
      <c r="A94" s="52"/>
      <c r="B94" s="73">
        <v>45802</v>
      </c>
      <c r="C94" s="86">
        <v>79.710800000000006</v>
      </c>
      <c r="D94" s="57"/>
      <c r="E94" s="56"/>
      <c r="F94" s="66"/>
      <c r="G94" s="68"/>
    </row>
    <row r="95" spans="1:14" hidden="1" outlineLevel="1" x14ac:dyDescent="0.25">
      <c r="A95" s="52"/>
      <c r="B95" s="73">
        <v>45803</v>
      </c>
      <c r="C95" s="86">
        <v>79.710800000000006</v>
      </c>
      <c r="D95" s="57"/>
      <c r="E95" s="56">
        <f t="shared" si="14"/>
        <v>0</v>
      </c>
      <c r="F95" s="66"/>
      <c r="G95" s="68">
        <f t="shared" si="15"/>
        <v>0</v>
      </c>
    </row>
    <row r="96" spans="1:14" hidden="1" outlineLevel="1" x14ac:dyDescent="0.25">
      <c r="A96" s="52">
        <v>17</v>
      </c>
      <c r="B96" s="73">
        <v>45804</v>
      </c>
      <c r="C96" s="86">
        <v>79.658799999999999</v>
      </c>
      <c r="D96" s="57">
        <v>9653</v>
      </c>
      <c r="E96" s="56">
        <f t="shared" si="14"/>
        <v>768548.69279999996</v>
      </c>
      <c r="F96" s="66">
        <v>2470.5</v>
      </c>
      <c r="G96" s="68">
        <f t="shared" si="15"/>
        <v>196695.28079999998</v>
      </c>
    </row>
    <row r="97" spans="1:14" hidden="1" outlineLevel="1" x14ac:dyDescent="0.25">
      <c r="A97" s="52">
        <v>18</v>
      </c>
      <c r="B97" s="73">
        <v>45805</v>
      </c>
      <c r="C97" s="86">
        <v>79.617599999999996</v>
      </c>
      <c r="D97" s="57">
        <v>9682</v>
      </c>
      <c r="E97" s="56">
        <f t="shared" si="14"/>
        <v>770723.02340000006</v>
      </c>
      <c r="F97" s="66">
        <v>2479</v>
      </c>
      <c r="G97" s="68">
        <f t="shared" si="15"/>
        <v>197337.5723</v>
      </c>
    </row>
    <row r="98" spans="1:14" hidden="1" outlineLevel="1" x14ac:dyDescent="0.25">
      <c r="A98" s="52"/>
      <c r="B98" s="73">
        <v>45806</v>
      </c>
      <c r="C98" s="86">
        <v>79.603700000000003</v>
      </c>
      <c r="D98" s="57"/>
      <c r="E98" s="56">
        <f t="shared" ref="E98:E99" si="16">D98*C99</f>
        <v>0</v>
      </c>
      <c r="F98" s="66"/>
      <c r="G98" s="68">
        <f t="shared" ref="G98:G99" si="17">F98*C99</f>
        <v>0</v>
      </c>
    </row>
    <row r="99" spans="1:14" hidden="1" outlineLevel="1" x14ac:dyDescent="0.25">
      <c r="A99" s="52"/>
      <c r="B99" s="73">
        <v>45807</v>
      </c>
      <c r="C99" s="86">
        <v>78.497</v>
      </c>
      <c r="D99" s="57"/>
      <c r="E99" s="56">
        <f t="shared" si="16"/>
        <v>0</v>
      </c>
      <c r="F99" s="66"/>
      <c r="G99" s="68">
        <f t="shared" si="17"/>
        <v>0</v>
      </c>
    </row>
    <row r="100" spans="1:14" hidden="1" outlineLevel="1" x14ac:dyDescent="0.25">
      <c r="A100" s="52"/>
      <c r="B100" s="73">
        <v>45808</v>
      </c>
      <c r="C100" s="86">
        <v>78.617099999999994</v>
      </c>
      <c r="D100" s="57"/>
      <c r="E100" s="56"/>
      <c r="F100" s="66"/>
      <c r="G100" s="68"/>
    </row>
    <row r="101" spans="1:14" ht="16.5" hidden="1" outlineLevel="1" thickBot="1" x14ac:dyDescent="0.3">
      <c r="C101" s="82"/>
      <c r="D101" s="204"/>
      <c r="F101" s="222"/>
      <c r="G101" s="41"/>
    </row>
    <row r="102" spans="1:14" s="21" customFormat="1" ht="24" customHeight="1" collapsed="1" thickBot="1" x14ac:dyDescent="0.4">
      <c r="A102" s="268" t="s">
        <v>42</v>
      </c>
      <c r="B102" s="269"/>
      <c r="C102" s="80">
        <f>SUM(C103:C131)/29</f>
        <v>78.721744827586207</v>
      </c>
      <c r="D102" s="202">
        <f>SUM(D103:D131)/21</f>
        <v>9833.7380952380954</v>
      </c>
      <c r="E102" s="31">
        <f>SUM(E103:E131)/21</f>
        <v>773861.84331190481</v>
      </c>
      <c r="F102" s="220">
        <f>SUM(F103:F131)/21</f>
        <v>2516.4761904761904</v>
      </c>
      <c r="G102" s="75">
        <f>SUM(G103:G131)/21</f>
        <v>198028.28396666664</v>
      </c>
      <c r="H102" s="93"/>
      <c r="I102" s="25">
        <f>((D102-200)*C102*1.2+100000)/1000</f>
        <v>1010.0616064829558</v>
      </c>
      <c r="J102" s="25">
        <f>(F102*C102*1.2+125000)/1000</f>
        <v>362.72167583763542</v>
      </c>
      <c r="K102" s="20"/>
      <c r="L102" s="20"/>
      <c r="M102" s="20"/>
      <c r="N102" s="40"/>
    </row>
    <row r="103" spans="1:14" ht="18.75" hidden="1" outlineLevel="1" x14ac:dyDescent="0.3">
      <c r="A103" s="53">
        <v>1</v>
      </c>
      <c r="B103" s="73">
        <v>45810</v>
      </c>
      <c r="C103" s="85">
        <v>78.617099999999994</v>
      </c>
      <c r="D103" s="77">
        <v>9655</v>
      </c>
      <c r="E103" s="192">
        <f>D103*C103</f>
        <v>759048.10049999994</v>
      </c>
      <c r="F103" s="65">
        <v>2451</v>
      </c>
      <c r="G103" s="209">
        <f>F103*C103</f>
        <v>192690.51209999999</v>
      </c>
      <c r="L103" s="20"/>
    </row>
    <row r="104" spans="1:14" ht="18.75" hidden="1" outlineLevel="1" x14ac:dyDescent="0.3">
      <c r="A104" s="52">
        <v>2</v>
      </c>
      <c r="B104" s="73">
        <v>45811</v>
      </c>
      <c r="C104" s="86">
        <v>79.128500000000003</v>
      </c>
      <c r="D104" s="57">
        <v>9643</v>
      </c>
      <c r="E104" s="192">
        <f t="shared" ref="E104:E131" si="18">D104*C104</f>
        <v>763036.12550000008</v>
      </c>
      <c r="F104" s="66">
        <v>2446</v>
      </c>
      <c r="G104" s="209">
        <f>F104*C104</f>
        <v>193548.31100000002</v>
      </c>
      <c r="L104" s="20"/>
    </row>
    <row r="105" spans="1:14" ht="18.75" hidden="1" outlineLevel="1" x14ac:dyDescent="0.3">
      <c r="A105" s="52">
        <v>3</v>
      </c>
      <c r="B105" s="73">
        <v>45812</v>
      </c>
      <c r="C105" s="86">
        <v>78.854900000000001</v>
      </c>
      <c r="D105" s="57">
        <v>9673.5</v>
      </c>
      <c r="E105" s="192">
        <f t="shared" si="18"/>
        <v>762802.87514999998</v>
      </c>
      <c r="F105" s="66">
        <v>2473</v>
      </c>
      <c r="G105" s="209">
        <f t="shared" ref="G105:G131" si="19">F105*C105</f>
        <v>195008.16769999999</v>
      </c>
      <c r="L105" s="20"/>
    </row>
    <row r="106" spans="1:14" ht="18.75" hidden="1" outlineLevel="1" x14ac:dyDescent="0.3">
      <c r="A106" s="52">
        <v>4</v>
      </c>
      <c r="B106" s="73">
        <v>45813</v>
      </c>
      <c r="C106" s="86">
        <v>78.502499999999998</v>
      </c>
      <c r="D106" s="57">
        <v>9834</v>
      </c>
      <c r="E106" s="192">
        <f t="shared" si="18"/>
        <v>771993.58499999996</v>
      </c>
      <c r="F106" s="66">
        <v>2472.5</v>
      </c>
      <c r="G106" s="209">
        <f t="shared" si="19"/>
        <v>194097.43124999999</v>
      </c>
      <c r="L106" s="20"/>
    </row>
    <row r="107" spans="1:14" ht="18.75" hidden="1" outlineLevel="1" x14ac:dyDescent="0.3">
      <c r="A107" s="52">
        <v>5</v>
      </c>
      <c r="B107" s="73">
        <v>45814</v>
      </c>
      <c r="C107" s="86">
        <v>79.127200000000002</v>
      </c>
      <c r="D107" s="57">
        <v>9795</v>
      </c>
      <c r="E107" s="192">
        <f t="shared" si="18"/>
        <v>775050.924</v>
      </c>
      <c r="F107" s="66">
        <v>2431.5</v>
      </c>
      <c r="G107" s="209">
        <f t="shared" si="19"/>
        <v>192397.7868</v>
      </c>
      <c r="L107" s="20"/>
    </row>
    <row r="108" spans="1:14" ht="18.75" hidden="1" outlineLevel="1" x14ac:dyDescent="0.3">
      <c r="A108" s="52"/>
      <c r="B108" s="73">
        <v>45815</v>
      </c>
      <c r="C108" s="86">
        <v>79.170299999999997</v>
      </c>
      <c r="D108" s="57"/>
      <c r="E108" s="192"/>
      <c r="F108" s="66"/>
      <c r="G108" s="209"/>
      <c r="L108" s="20"/>
    </row>
    <row r="109" spans="1:14" ht="18.75" hidden="1" outlineLevel="1" x14ac:dyDescent="0.3">
      <c r="A109" s="52"/>
      <c r="B109" s="73">
        <v>45816</v>
      </c>
      <c r="C109" s="86">
        <v>79.170299999999997</v>
      </c>
      <c r="D109" s="57"/>
      <c r="E109" s="192"/>
      <c r="F109" s="66"/>
      <c r="G109" s="209"/>
      <c r="L109" s="20"/>
    </row>
    <row r="110" spans="1:14" ht="18.75" hidden="1" outlineLevel="1" x14ac:dyDescent="0.3">
      <c r="A110" s="52">
        <v>6</v>
      </c>
      <c r="B110" s="73">
        <v>45817</v>
      </c>
      <c r="C110" s="86">
        <v>79.170299999999997</v>
      </c>
      <c r="D110" s="57">
        <v>9849</v>
      </c>
      <c r="E110" s="192">
        <f t="shared" si="18"/>
        <v>779748.28469999996</v>
      </c>
      <c r="F110" s="66">
        <v>2468.5</v>
      </c>
      <c r="G110" s="209">
        <f t="shared" si="19"/>
        <v>195431.88555000001</v>
      </c>
      <c r="L110" s="20"/>
    </row>
    <row r="111" spans="1:14" ht="18.75" hidden="1" outlineLevel="1" x14ac:dyDescent="0.3">
      <c r="A111" s="52">
        <v>7</v>
      </c>
      <c r="B111" s="73">
        <v>45818</v>
      </c>
      <c r="C111" s="86">
        <v>79.154300000000006</v>
      </c>
      <c r="D111" s="57">
        <v>9854</v>
      </c>
      <c r="E111" s="192">
        <f t="shared" si="18"/>
        <v>779986.47220000008</v>
      </c>
      <c r="F111" s="66">
        <v>2482</v>
      </c>
      <c r="G111" s="209">
        <f t="shared" si="19"/>
        <v>196460.97260000001</v>
      </c>
      <c r="L111" s="20"/>
    </row>
    <row r="112" spans="1:14" ht="18.75" hidden="1" outlineLevel="1" x14ac:dyDescent="0.3">
      <c r="A112" s="52">
        <v>8</v>
      </c>
      <c r="B112" s="73">
        <v>45819</v>
      </c>
      <c r="C112" s="86">
        <v>78.600300000000004</v>
      </c>
      <c r="D112" s="57">
        <v>9730</v>
      </c>
      <c r="E112" s="192">
        <f t="shared" si="18"/>
        <v>764780.91899999999</v>
      </c>
      <c r="F112" s="66">
        <v>2511.5</v>
      </c>
      <c r="G112" s="209">
        <f t="shared" si="19"/>
        <v>197404.65345000001</v>
      </c>
      <c r="L112" s="20"/>
    </row>
    <row r="113" spans="1:12" ht="18.75" hidden="1" outlineLevel="1" x14ac:dyDescent="0.3">
      <c r="A113" s="52">
        <v>9</v>
      </c>
      <c r="B113" s="73">
        <v>45820</v>
      </c>
      <c r="C113" s="86">
        <v>79.002799999999993</v>
      </c>
      <c r="D113" s="57">
        <v>9779</v>
      </c>
      <c r="E113" s="192">
        <f t="shared" si="18"/>
        <v>772568.38119999995</v>
      </c>
      <c r="F113" s="66">
        <v>2510</v>
      </c>
      <c r="G113" s="209">
        <f t="shared" si="19"/>
        <v>198297.02799999999</v>
      </c>
      <c r="L113" s="20"/>
    </row>
    <row r="114" spans="1:12" ht="18.75" hidden="1" outlineLevel="1" x14ac:dyDescent="0.3">
      <c r="A114" s="52">
        <v>10</v>
      </c>
      <c r="B114" s="73">
        <v>45821</v>
      </c>
      <c r="C114" s="86">
        <v>79.002799999999993</v>
      </c>
      <c r="D114" s="57">
        <v>9658</v>
      </c>
      <c r="E114" s="192">
        <f t="shared" si="18"/>
        <v>763009.04239999992</v>
      </c>
      <c r="F114" s="66">
        <v>2485</v>
      </c>
      <c r="G114" s="209">
        <f t="shared" si="19"/>
        <v>196321.95799999998</v>
      </c>
      <c r="L114" s="20"/>
    </row>
    <row r="115" spans="1:12" ht="18.75" hidden="1" outlineLevel="1" x14ac:dyDescent="0.3">
      <c r="A115" s="52"/>
      <c r="B115" s="73">
        <v>45822</v>
      </c>
      <c r="C115" s="86">
        <v>79.002799999999993</v>
      </c>
      <c r="D115" s="57"/>
      <c r="E115" s="192"/>
      <c r="F115" s="66"/>
      <c r="G115" s="209"/>
      <c r="L115" s="20"/>
    </row>
    <row r="116" spans="1:12" ht="18.75" hidden="1" outlineLevel="1" x14ac:dyDescent="0.3">
      <c r="A116" s="52"/>
      <c r="B116" s="73">
        <v>45823</v>
      </c>
      <c r="C116" s="86">
        <v>79.002799999999993</v>
      </c>
      <c r="D116" s="57"/>
      <c r="E116" s="192"/>
      <c r="F116" s="66"/>
      <c r="G116" s="209"/>
      <c r="L116" s="20"/>
    </row>
    <row r="117" spans="1:12" ht="18.75" hidden="1" outlineLevel="1" x14ac:dyDescent="0.3">
      <c r="A117" s="52">
        <v>11</v>
      </c>
      <c r="B117" s="73">
        <v>45824</v>
      </c>
      <c r="C117" s="86">
        <v>79.002799999999993</v>
      </c>
      <c r="D117" s="57">
        <v>9738</v>
      </c>
      <c r="E117" s="192">
        <f t="shared" si="18"/>
        <v>769329.26639999996</v>
      </c>
      <c r="F117" s="66">
        <v>2508.5</v>
      </c>
      <c r="G117" s="209">
        <f t="shared" si="19"/>
        <v>198178.5238</v>
      </c>
      <c r="L117" s="20"/>
    </row>
    <row r="118" spans="1:12" ht="18.75" hidden="1" outlineLevel="1" x14ac:dyDescent="0.3">
      <c r="A118" s="52">
        <v>12</v>
      </c>
      <c r="B118" s="73">
        <v>45825</v>
      </c>
      <c r="C118" s="86">
        <v>78.506699999999995</v>
      </c>
      <c r="D118" s="57">
        <v>9820.5</v>
      </c>
      <c r="E118" s="192">
        <f t="shared" si="18"/>
        <v>770975.04735000001</v>
      </c>
      <c r="F118" s="66">
        <v>2530</v>
      </c>
      <c r="G118" s="209">
        <f t="shared" si="19"/>
        <v>198621.951</v>
      </c>
      <c r="L118" s="20"/>
    </row>
    <row r="119" spans="1:12" ht="18.75" hidden="1" outlineLevel="1" x14ac:dyDescent="0.3">
      <c r="A119" s="52">
        <v>13</v>
      </c>
      <c r="B119" s="73">
        <v>45826</v>
      </c>
      <c r="C119" s="86">
        <v>78.713499999999996</v>
      </c>
      <c r="D119" s="57">
        <v>9841</v>
      </c>
      <c r="E119" s="192">
        <f t="shared" si="18"/>
        <v>774619.55349999992</v>
      </c>
      <c r="F119" s="66">
        <v>2545.5</v>
      </c>
      <c r="G119" s="209">
        <f t="shared" si="19"/>
        <v>200365.21424999999</v>
      </c>
      <c r="L119" s="20"/>
    </row>
    <row r="120" spans="1:12" ht="18.75" hidden="1" outlineLevel="1" x14ac:dyDescent="0.3">
      <c r="A120" s="52">
        <v>14</v>
      </c>
      <c r="B120" s="73">
        <v>45827</v>
      </c>
      <c r="C120" s="86">
        <v>78.717399999999998</v>
      </c>
      <c r="D120" s="57">
        <v>9712</v>
      </c>
      <c r="E120" s="192">
        <f t="shared" si="18"/>
        <v>764503.38879999996</v>
      </c>
      <c r="F120" s="66">
        <v>2525.5</v>
      </c>
      <c r="G120" s="209">
        <f t="shared" si="19"/>
        <v>198800.79369999998</v>
      </c>
      <c r="L120" s="20"/>
    </row>
    <row r="121" spans="1:12" ht="18.75" hidden="1" outlineLevel="1" x14ac:dyDescent="0.3">
      <c r="A121" s="52">
        <v>15</v>
      </c>
      <c r="B121" s="73">
        <v>45828</v>
      </c>
      <c r="C121" s="86">
        <v>78.483900000000006</v>
      </c>
      <c r="D121" s="57">
        <v>9945</v>
      </c>
      <c r="E121" s="192">
        <f t="shared" si="18"/>
        <v>780522.38550000009</v>
      </c>
      <c r="F121" s="66">
        <v>2529</v>
      </c>
      <c r="G121" s="209">
        <f t="shared" si="19"/>
        <v>198485.7831</v>
      </c>
      <c r="L121" s="20"/>
    </row>
    <row r="122" spans="1:12" ht="18.75" hidden="1" outlineLevel="1" x14ac:dyDescent="0.3">
      <c r="A122" s="52"/>
      <c r="B122" s="73">
        <v>45829</v>
      </c>
      <c r="C122" s="86">
        <v>78.501599999999996</v>
      </c>
      <c r="D122" s="57"/>
      <c r="E122" s="192"/>
      <c r="F122" s="66"/>
      <c r="G122" s="209"/>
      <c r="L122" s="20"/>
    </row>
    <row r="123" spans="1:12" ht="18.75" hidden="1" outlineLevel="1" x14ac:dyDescent="0.3">
      <c r="A123" s="52"/>
      <c r="B123" s="73">
        <v>45830</v>
      </c>
      <c r="C123" s="86">
        <v>78.501599999999996</v>
      </c>
      <c r="D123" s="57"/>
      <c r="E123" s="192"/>
      <c r="F123" s="66"/>
      <c r="G123" s="209"/>
      <c r="L123" s="20"/>
    </row>
    <row r="124" spans="1:12" ht="18.75" hidden="1" outlineLevel="1" x14ac:dyDescent="0.3">
      <c r="A124" s="52">
        <v>16</v>
      </c>
      <c r="B124" s="73">
        <v>45831</v>
      </c>
      <c r="C124" s="86">
        <v>78.501599999999996</v>
      </c>
      <c r="D124" s="57">
        <v>10035</v>
      </c>
      <c r="E124" s="192">
        <f t="shared" si="18"/>
        <v>787763.55599999998</v>
      </c>
      <c r="F124" s="66">
        <v>2599</v>
      </c>
      <c r="G124" s="209">
        <f t="shared" si="19"/>
        <v>204025.65839999999</v>
      </c>
      <c r="L124" s="20"/>
    </row>
    <row r="125" spans="1:12" ht="18.75" hidden="1" outlineLevel="1" x14ac:dyDescent="0.3">
      <c r="A125" s="52">
        <v>17</v>
      </c>
      <c r="B125" s="73">
        <v>45832</v>
      </c>
      <c r="C125" s="86">
        <v>78.292299999999997</v>
      </c>
      <c r="D125" s="57">
        <v>9930.5</v>
      </c>
      <c r="E125" s="192">
        <f t="shared" si="18"/>
        <v>777481.68514999992</v>
      </c>
      <c r="F125" s="66">
        <v>2572.5</v>
      </c>
      <c r="G125" s="209">
        <f t="shared" si="19"/>
        <v>201406.94175</v>
      </c>
      <c r="L125" s="20"/>
    </row>
    <row r="126" spans="1:12" ht="18.75" hidden="1" outlineLevel="1" x14ac:dyDescent="0.3">
      <c r="A126" s="52">
        <v>18</v>
      </c>
      <c r="B126" s="73">
        <v>45833</v>
      </c>
      <c r="C126" s="86">
        <v>78.389200000000002</v>
      </c>
      <c r="D126" s="57">
        <v>9810</v>
      </c>
      <c r="E126" s="192">
        <f t="shared" si="18"/>
        <v>768998.05200000003</v>
      </c>
      <c r="F126" s="66">
        <v>2555.5</v>
      </c>
      <c r="G126" s="209">
        <f t="shared" si="19"/>
        <v>200323.60060000001</v>
      </c>
      <c r="L126" s="20"/>
    </row>
    <row r="127" spans="1:12" ht="18.75" hidden="1" outlineLevel="1" x14ac:dyDescent="0.3">
      <c r="A127" s="52">
        <v>19</v>
      </c>
      <c r="B127" s="73">
        <v>45834</v>
      </c>
      <c r="C127" s="86">
        <v>78.195899999999995</v>
      </c>
      <c r="D127" s="57">
        <v>10115</v>
      </c>
      <c r="E127" s="192">
        <f t="shared" si="18"/>
        <v>790951.5284999999</v>
      </c>
      <c r="F127" s="66">
        <v>2573.5</v>
      </c>
      <c r="G127" s="209">
        <f t="shared" si="19"/>
        <v>201237.14864999999</v>
      </c>
      <c r="L127" s="20"/>
    </row>
    <row r="128" spans="1:12" ht="18.75" hidden="1" outlineLevel="1" x14ac:dyDescent="0.3">
      <c r="A128" s="52">
        <v>20</v>
      </c>
      <c r="B128" s="73">
        <v>45835</v>
      </c>
      <c r="C128" s="86">
        <v>78.211699999999993</v>
      </c>
      <c r="D128" s="57">
        <v>10051</v>
      </c>
      <c r="E128" s="192">
        <f t="shared" si="18"/>
        <v>786105.79669999995</v>
      </c>
      <c r="F128" s="66">
        <v>2583</v>
      </c>
      <c r="G128" s="209">
        <f t="shared" si="19"/>
        <v>202020.82109999997</v>
      </c>
      <c r="L128" s="20"/>
    </row>
    <row r="129" spans="1:14" ht="18.75" hidden="1" outlineLevel="1" x14ac:dyDescent="0.3">
      <c r="A129" s="52"/>
      <c r="B129" s="73">
        <v>45836</v>
      </c>
      <c r="C129" s="86">
        <v>78.468500000000006</v>
      </c>
      <c r="D129" s="57"/>
      <c r="E129" s="192"/>
      <c r="F129" s="66"/>
      <c r="G129" s="209"/>
      <c r="L129" s="20"/>
    </row>
    <row r="130" spans="1:14" ht="18.75" hidden="1" outlineLevel="1" x14ac:dyDescent="0.3">
      <c r="A130" s="52"/>
      <c r="B130" s="73">
        <v>45837</v>
      </c>
      <c r="C130" s="86">
        <v>78.468500000000006</v>
      </c>
      <c r="D130" s="57"/>
      <c r="E130" s="192"/>
      <c r="F130" s="66"/>
      <c r="G130" s="209"/>
      <c r="L130" s="20"/>
    </row>
    <row r="131" spans="1:14" ht="18.75" hidden="1" outlineLevel="1" x14ac:dyDescent="0.3">
      <c r="A131" s="52">
        <v>21</v>
      </c>
      <c r="B131" s="73">
        <v>45838</v>
      </c>
      <c r="C131" s="86">
        <v>78.468500000000006</v>
      </c>
      <c r="D131" s="57">
        <v>10040</v>
      </c>
      <c r="E131" s="192">
        <f t="shared" si="18"/>
        <v>787823.74000000011</v>
      </c>
      <c r="F131" s="66">
        <v>2593</v>
      </c>
      <c r="G131" s="209">
        <f t="shared" si="19"/>
        <v>203468.8205</v>
      </c>
      <c r="L131" s="20"/>
    </row>
    <row r="132" spans="1:14" ht="19.5" hidden="1" outlineLevel="1" thickBot="1" x14ac:dyDescent="0.35">
      <c r="A132" s="54"/>
      <c r="B132" s="55"/>
      <c r="C132" s="86"/>
      <c r="D132" s="57"/>
      <c r="E132" s="56"/>
      <c r="F132" s="66"/>
      <c r="G132" s="68"/>
      <c r="L132" s="20"/>
    </row>
    <row r="133" spans="1:14" s="21" customFormat="1" ht="24" customHeight="1" collapsed="1" thickBot="1" x14ac:dyDescent="0.4">
      <c r="A133" s="264" t="s">
        <v>43</v>
      </c>
      <c r="B133" s="265"/>
      <c r="C133" s="94">
        <f>SUM(C134:C164)/31</f>
        <v>78.740490322580627</v>
      </c>
      <c r="D133" s="206">
        <f>SUM(D134:D164)/23</f>
        <v>9778.217391304348</v>
      </c>
      <c r="E133" s="95">
        <f>SUM(E134:E164)/23</f>
        <v>770251.0941391302</v>
      </c>
      <c r="F133" s="224">
        <f>SUM(F134:F164)/23</f>
        <v>2604.1521739130435</v>
      </c>
      <c r="G133" s="210">
        <f>SUM(G134:G164)/23</f>
        <v>205138.10128913037</v>
      </c>
      <c r="H133" s="96"/>
      <c r="I133" s="25">
        <f>((D133-200)*C133*1.2+100000)/1000</f>
        <v>1005.0322405690881</v>
      </c>
      <c r="J133" s="25">
        <f>(F133*C133*1.2+125000)/1000</f>
        <v>371.06266285823273</v>
      </c>
      <c r="K133" s="20"/>
      <c r="L133" s="139">
        <f>(D133+500)*C133*1.2/1000</f>
        <v>971.17425244005585</v>
      </c>
      <c r="M133" s="20"/>
      <c r="N133" s="40"/>
    </row>
    <row r="134" spans="1:14" ht="18.75" hidden="1" outlineLevel="1" x14ac:dyDescent="0.3">
      <c r="A134" s="87">
        <v>1</v>
      </c>
      <c r="B134" s="90">
        <v>45839</v>
      </c>
      <c r="C134" s="97">
        <v>78.528400000000005</v>
      </c>
      <c r="D134" s="78">
        <v>10061</v>
      </c>
      <c r="E134" s="193">
        <f>D134*C134</f>
        <v>790074.2324000001</v>
      </c>
      <c r="F134" s="69">
        <v>2604</v>
      </c>
      <c r="G134" s="211">
        <f>C134*F134</f>
        <v>204487.95360000001</v>
      </c>
      <c r="L134" s="20"/>
    </row>
    <row r="135" spans="1:14" ht="18.75" hidden="1" outlineLevel="1" x14ac:dyDescent="0.3">
      <c r="A135" s="88">
        <v>2</v>
      </c>
      <c r="B135" s="91">
        <v>45840</v>
      </c>
      <c r="C135" s="98">
        <v>78.418099999999995</v>
      </c>
      <c r="D135" s="57">
        <v>10045</v>
      </c>
      <c r="E135" s="194">
        <f>D135*C135</f>
        <v>787709.81449999998</v>
      </c>
      <c r="F135" s="66">
        <v>2602</v>
      </c>
      <c r="G135" s="212">
        <f>F135*C135</f>
        <v>204043.89619999999</v>
      </c>
      <c r="L135" s="20"/>
    </row>
    <row r="136" spans="1:14" ht="18.75" hidden="1" outlineLevel="1" x14ac:dyDescent="0.3">
      <c r="A136" s="88">
        <v>3</v>
      </c>
      <c r="B136" s="91">
        <v>45841</v>
      </c>
      <c r="C136" s="98">
        <f>78.654</f>
        <v>78.653999999999996</v>
      </c>
      <c r="D136" s="57">
        <v>10120</v>
      </c>
      <c r="E136" s="194">
        <f>D136*C136</f>
        <v>795978.48</v>
      </c>
      <c r="F136" s="66">
        <v>2604</v>
      </c>
      <c r="G136" s="212">
        <f t="shared" ref="G136:G164" si="20">F136*C136</f>
        <v>204815.016</v>
      </c>
      <c r="L136" s="20"/>
    </row>
    <row r="137" spans="1:14" hidden="1" outlineLevel="1" x14ac:dyDescent="0.25">
      <c r="A137" s="88">
        <v>4</v>
      </c>
      <c r="B137" s="91">
        <v>45842</v>
      </c>
      <c r="C137" s="98">
        <f>78.7831</f>
        <v>78.783100000000005</v>
      </c>
      <c r="D137" s="57">
        <v>9970.5</v>
      </c>
      <c r="E137" s="194">
        <f t="shared" ref="E137:E164" si="21">D137*C137</f>
        <v>785506.89855000004</v>
      </c>
      <c r="F137" s="66">
        <v>2587</v>
      </c>
      <c r="G137" s="212">
        <f t="shared" si="20"/>
        <v>203811.87970000002</v>
      </c>
    </row>
    <row r="138" spans="1:14" hidden="1" outlineLevel="1" x14ac:dyDescent="0.25">
      <c r="A138" s="88"/>
      <c r="B138" s="91">
        <v>45843</v>
      </c>
      <c r="C138" s="98">
        <v>78.835400000000007</v>
      </c>
      <c r="D138" s="57"/>
      <c r="E138" s="194"/>
      <c r="F138" s="66"/>
      <c r="G138" s="212"/>
    </row>
    <row r="139" spans="1:14" hidden="1" outlineLevel="1" x14ac:dyDescent="0.25">
      <c r="A139" s="88"/>
      <c r="B139" s="91">
        <v>45844</v>
      </c>
      <c r="C139" s="98">
        <v>77.835400000000007</v>
      </c>
      <c r="D139" s="57"/>
      <c r="E139" s="194"/>
      <c r="F139" s="66"/>
      <c r="G139" s="212"/>
    </row>
    <row r="140" spans="1:14" hidden="1" outlineLevel="1" x14ac:dyDescent="0.25">
      <c r="A140" s="88">
        <v>5</v>
      </c>
      <c r="B140" s="91">
        <v>45845</v>
      </c>
      <c r="C140" s="98">
        <v>78.835400000000007</v>
      </c>
      <c r="D140" s="57">
        <v>9893</v>
      </c>
      <c r="E140" s="194">
        <f t="shared" si="21"/>
        <v>779918.61220000009</v>
      </c>
      <c r="F140" s="66">
        <v>2566</v>
      </c>
      <c r="G140" s="212">
        <f t="shared" si="20"/>
        <v>202291.63640000002</v>
      </c>
    </row>
    <row r="141" spans="1:14" hidden="1" outlineLevel="1" x14ac:dyDescent="0.25">
      <c r="A141" s="88">
        <v>6</v>
      </c>
      <c r="B141" s="91">
        <v>45846</v>
      </c>
      <c r="C141" s="98">
        <v>78.735399999999998</v>
      </c>
      <c r="D141" s="57">
        <v>9925</v>
      </c>
      <c r="E141" s="194">
        <f t="shared" si="21"/>
        <v>781448.84499999997</v>
      </c>
      <c r="F141" s="66">
        <v>2587</v>
      </c>
      <c r="G141" s="212">
        <f t="shared" si="20"/>
        <v>203688.4798</v>
      </c>
    </row>
    <row r="142" spans="1:14" hidden="1" outlineLevel="1" x14ac:dyDescent="0.25">
      <c r="A142" s="88">
        <v>7</v>
      </c>
      <c r="B142" s="91">
        <v>45847</v>
      </c>
      <c r="C142" s="98">
        <v>78.168199999999999</v>
      </c>
      <c r="D142" s="57">
        <v>9635</v>
      </c>
      <c r="E142" s="194">
        <f t="shared" si="21"/>
        <v>753150.60699999996</v>
      </c>
      <c r="F142" s="66">
        <v>2580</v>
      </c>
      <c r="G142" s="212">
        <f t="shared" si="20"/>
        <v>201673.95600000001</v>
      </c>
    </row>
    <row r="143" spans="1:14" hidden="1" outlineLevel="1" x14ac:dyDescent="0.25">
      <c r="A143" s="88">
        <v>8</v>
      </c>
      <c r="B143" s="91">
        <v>45848</v>
      </c>
      <c r="C143" s="98">
        <v>78.172700000000006</v>
      </c>
      <c r="D143" s="57">
        <v>9752</v>
      </c>
      <c r="E143" s="194">
        <f t="shared" si="21"/>
        <v>762340.17040000006</v>
      </c>
      <c r="F143" s="66">
        <v>2609</v>
      </c>
      <c r="G143" s="212">
        <f t="shared" si="20"/>
        <v>203952.57430000001</v>
      </c>
    </row>
    <row r="144" spans="1:14" hidden="1" outlineLevel="1" x14ac:dyDescent="0.25">
      <c r="A144" s="88">
        <v>9</v>
      </c>
      <c r="B144" s="91">
        <v>45849</v>
      </c>
      <c r="C144" s="98">
        <v>77.902900000000002</v>
      </c>
      <c r="D144" s="57">
        <v>9637.5</v>
      </c>
      <c r="E144" s="194">
        <f t="shared" si="21"/>
        <v>750789.19874999998</v>
      </c>
      <c r="F144" s="66">
        <v>2591.5</v>
      </c>
      <c r="G144" s="212">
        <f t="shared" si="20"/>
        <v>201885.36535000001</v>
      </c>
    </row>
    <row r="145" spans="1:7" hidden="1" outlineLevel="1" x14ac:dyDescent="0.25">
      <c r="A145" s="88"/>
      <c r="B145" s="91">
        <v>45850</v>
      </c>
      <c r="C145" s="98">
        <v>77.885499999999993</v>
      </c>
      <c r="D145" s="57"/>
      <c r="E145" s="194"/>
      <c r="F145" s="66"/>
      <c r="G145" s="212"/>
    </row>
    <row r="146" spans="1:7" hidden="1" outlineLevel="1" x14ac:dyDescent="0.25">
      <c r="A146" s="88"/>
      <c r="B146" s="91">
        <v>45851</v>
      </c>
      <c r="C146" s="98">
        <v>77.885499999999993</v>
      </c>
      <c r="D146" s="57"/>
      <c r="E146" s="194"/>
      <c r="F146" s="66"/>
      <c r="G146" s="212"/>
    </row>
    <row r="147" spans="1:7" hidden="1" outlineLevel="1" x14ac:dyDescent="0.25">
      <c r="A147" s="88">
        <v>10</v>
      </c>
      <c r="B147" s="91">
        <v>45852</v>
      </c>
      <c r="C147" s="98">
        <v>77.885499999999993</v>
      </c>
      <c r="D147" s="57">
        <v>9555</v>
      </c>
      <c r="E147" s="194">
        <f t="shared" si="21"/>
        <v>744195.9524999999</v>
      </c>
      <c r="F147" s="66">
        <v>2586</v>
      </c>
      <c r="G147" s="212">
        <f t="shared" si="20"/>
        <v>201411.90299999999</v>
      </c>
    </row>
    <row r="148" spans="1:7" hidden="1" outlineLevel="1" x14ac:dyDescent="0.25">
      <c r="A148" s="88">
        <v>11</v>
      </c>
      <c r="B148" s="91">
        <v>45853</v>
      </c>
      <c r="C148" s="98">
        <v>78.372200000000007</v>
      </c>
      <c r="D148" s="57">
        <v>9564</v>
      </c>
      <c r="E148" s="194">
        <f t="shared" si="21"/>
        <v>749551.72080000001</v>
      </c>
      <c r="F148" s="66">
        <v>2594</v>
      </c>
      <c r="G148" s="212">
        <f t="shared" si="20"/>
        <v>203297.48680000001</v>
      </c>
    </row>
    <row r="149" spans="1:7" hidden="1" outlineLevel="1" x14ac:dyDescent="0.25">
      <c r="A149" s="88">
        <v>12</v>
      </c>
      <c r="B149" s="91">
        <v>45854</v>
      </c>
      <c r="C149" s="98">
        <v>77.958399999999997</v>
      </c>
      <c r="D149" s="57">
        <v>9563</v>
      </c>
      <c r="E149" s="194">
        <f t="shared" si="21"/>
        <v>745516.17920000001</v>
      </c>
      <c r="F149" s="66">
        <v>2568</v>
      </c>
      <c r="G149" s="212">
        <f t="shared" si="20"/>
        <v>200197.17119999998</v>
      </c>
    </row>
    <row r="150" spans="1:7" hidden="1" outlineLevel="1" x14ac:dyDescent="0.25">
      <c r="A150" s="88">
        <v>13</v>
      </c>
      <c r="B150" s="91">
        <v>45855</v>
      </c>
      <c r="C150" s="98">
        <v>77.958500000000001</v>
      </c>
      <c r="D150" s="57">
        <v>9586</v>
      </c>
      <c r="E150" s="194">
        <f t="shared" si="21"/>
        <v>747310.18099999998</v>
      </c>
      <c r="F150" s="66">
        <v>2557</v>
      </c>
      <c r="G150" s="212">
        <f t="shared" si="20"/>
        <v>199339.88450000001</v>
      </c>
    </row>
    <row r="151" spans="1:7" hidden="1" outlineLevel="1" x14ac:dyDescent="0.25">
      <c r="A151" s="88">
        <v>14</v>
      </c>
      <c r="B151" s="91">
        <v>45856</v>
      </c>
      <c r="C151" s="98">
        <v>78.185599999999994</v>
      </c>
      <c r="D151" s="57">
        <v>9667</v>
      </c>
      <c r="E151" s="194">
        <f t="shared" si="21"/>
        <v>755820.19519999996</v>
      </c>
      <c r="F151" s="66">
        <v>2591.5</v>
      </c>
      <c r="G151" s="212">
        <f t="shared" si="20"/>
        <v>202617.98239999998</v>
      </c>
    </row>
    <row r="152" spans="1:7" hidden="1" outlineLevel="1" x14ac:dyDescent="0.25">
      <c r="A152" s="88"/>
      <c r="B152" s="91">
        <v>45857</v>
      </c>
      <c r="C152" s="98">
        <v>78.312899999999999</v>
      </c>
      <c r="D152" s="57"/>
      <c r="E152" s="194"/>
      <c r="F152" s="66"/>
      <c r="G152" s="212"/>
    </row>
    <row r="153" spans="1:7" hidden="1" outlineLevel="1" x14ac:dyDescent="0.25">
      <c r="A153" s="88"/>
      <c r="B153" s="91">
        <v>45858</v>
      </c>
      <c r="C153" s="98">
        <v>78.312899999999999</v>
      </c>
      <c r="D153" s="57"/>
      <c r="E153" s="194"/>
      <c r="F153" s="66"/>
      <c r="G153" s="212"/>
    </row>
    <row r="154" spans="1:7" hidden="1" outlineLevel="1" x14ac:dyDescent="0.25">
      <c r="A154" s="88">
        <v>15</v>
      </c>
      <c r="B154" s="91">
        <v>45859</v>
      </c>
      <c r="C154" s="98">
        <v>78.312899999999999</v>
      </c>
      <c r="D154" s="57">
        <v>9773.5</v>
      </c>
      <c r="E154" s="194">
        <f t="shared" si="21"/>
        <v>765391.12815</v>
      </c>
      <c r="F154" s="66">
        <v>2649</v>
      </c>
      <c r="G154" s="212">
        <f t="shared" si="20"/>
        <v>207450.87210000001</v>
      </c>
    </row>
    <row r="155" spans="1:7" hidden="1" outlineLevel="1" x14ac:dyDescent="0.25">
      <c r="A155" s="88">
        <v>16</v>
      </c>
      <c r="B155" s="91">
        <v>45860</v>
      </c>
      <c r="C155" s="98">
        <v>78.327399999999997</v>
      </c>
      <c r="D155" s="57">
        <v>9818.5</v>
      </c>
      <c r="E155" s="194">
        <f t="shared" si="21"/>
        <v>769057.57689999999</v>
      </c>
      <c r="F155" s="66">
        <v>2638.5</v>
      </c>
      <c r="G155" s="212">
        <f t="shared" si="20"/>
        <v>206666.8449</v>
      </c>
    </row>
    <row r="156" spans="1:7" hidden="1" outlineLevel="1" x14ac:dyDescent="0.25">
      <c r="A156" s="88">
        <v>17</v>
      </c>
      <c r="B156" s="91">
        <v>45861</v>
      </c>
      <c r="C156" s="98">
        <v>78.088200000000001</v>
      </c>
      <c r="D156" s="57">
        <v>9862</v>
      </c>
      <c r="E156" s="194">
        <f t="shared" si="21"/>
        <v>770105.8284</v>
      </c>
      <c r="F156" s="66">
        <v>2645</v>
      </c>
      <c r="G156" s="212">
        <f t="shared" si="20"/>
        <v>206543.28899999999</v>
      </c>
    </row>
    <row r="157" spans="1:7" hidden="1" outlineLevel="1" x14ac:dyDescent="0.25">
      <c r="A157" s="88">
        <v>18</v>
      </c>
      <c r="B157" s="91">
        <v>45862</v>
      </c>
      <c r="C157" s="98">
        <v>78.447699999999998</v>
      </c>
      <c r="D157" s="57">
        <v>9861</v>
      </c>
      <c r="E157" s="194">
        <f t="shared" si="21"/>
        <v>773572.76969999995</v>
      </c>
      <c r="F157" s="66">
        <v>2646.5</v>
      </c>
      <c r="G157" s="212">
        <f t="shared" si="20"/>
        <v>207611.83804999999</v>
      </c>
    </row>
    <row r="158" spans="1:7" hidden="1" outlineLevel="1" x14ac:dyDescent="0.25">
      <c r="A158" s="88">
        <v>19</v>
      </c>
      <c r="B158" s="91">
        <v>45863</v>
      </c>
      <c r="C158" s="98">
        <v>78.862300000000005</v>
      </c>
      <c r="D158" s="57">
        <v>9788</v>
      </c>
      <c r="E158" s="194">
        <f t="shared" si="21"/>
        <v>771904.19240000006</v>
      </c>
      <c r="F158" s="66">
        <v>2657</v>
      </c>
      <c r="G158" s="212">
        <f t="shared" si="20"/>
        <v>209537.1311</v>
      </c>
    </row>
    <row r="159" spans="1:7" hidden="1" outlineLevel="1" x14ac:dyDescent="0.25">
      <c r="A159" s="88"/>
      <c r="B159" s="91">
        <v>45864</v>
      </c>
      <c r="C159" s="98">
        <v>79.552700000000002</v>
      </c>
      <c r="D159" s="57"/>
      <c r="E159" s="194"/>
      <c r="F159" s="66"/>
      <c r="G159" s="212"/>
    </row>
    <row r="160" spans="1:7" hidden="1" outlineLevel="1" x14ac:dyDescent="0.25">
      <c r="A160" s="88"/>
      <c r="B160" s="91">
        <v>45865</v>
      </c>
      <c r="C160" s="98">
        <v>80.552700000000002</v>
      </c>
      <c r="D160" s="57"/>
      <c r="E160" s="194"/>
      <c r="F160" s="66"/>
      <c r="G160" s="212"/>
    </row>
    <row r="161" spans="1:14" hidden="1" outlineLevel="1" x14ac:dyDescent="0.25">
      <c r="A161" s="88">
        <v>20</v>
      </c>
      <c r="B161" s="91">
        <v>45866</v>
      </c>
      <c r="C161" s="98">
        <v>79.552700000000002</v>
      </c>
      <c r="D161" s="57">
        <v>9783</v>
      </c>
      <c r="E161" s="194">
        <f t="shared" si="21"/>
        <v>778264.06409999996</v>
      </c>
      <c r="F161" s="66">
        <v>2632.5</v>
      </c>
      <c r="G161" s="212">
        <f t="shared" si="20"/>
        <v>209422.48275</v>
      </c>
    </row>
    <row r="162" spans="1:14" hidden="1" outlineLevel="1" x14ac:dyDescent="0.25">
      <c r="A162" s="88">
        <v>21</v>
      </c>
      <c r="B162" s="91">
        <v>45867</v>
      </c>
      <c r="C162" s="98">
        <v>79.578199999999995</v>
      </c>
      <c r="D162" s="57">
        <v>9733.5</v>
      </c>
      <c r="E162" s="194">
        <f t="shared" si="21"/>
        <v>774574.40969999996</v>
      </c>
      <c r="F162" s="66">
        <v>2609</v>
      </c>
      <c r="G162" s="212">
        <f t="shared" si="20"/>
        <v>207619.5238</v>
      </c>
    </row>
    <row r="163" spans="1:14" hidden="1" outlineLevel="1" x14ac:dyDescent="0.25">
      <c r="A163" s="88">
        <v>22</v>
      </c>
      <c r="B163" s="91">
        <v>45868</v>
      </c>
      <c r="C163" s="98">
        <v>82.219700000000003</v>
      </c>
      <c r="D163" s="57">
        <v>9699.5</v>
      </c>
      <c r="E163" s="194">
        <f t="shared" si="21"/>
        <v>797489.98015000008</v>
      </c>
      <c r="F163" s="66">
        <v>2611</v>
      </c>
      <c r="G163" s="212">
        <f t="shared" si="20"/>
        <v>214675.6367</v>
      </c>
    </row>
    <row r="164" spans="1:14" ht="16.5" hidden="1" outlineLevel="1" thickBot="1" x14ac:dyDescent="0.3">
      <c r="A164" s="89">
        <v>23</v>
      </c>
      <c r="B164" s="92">
        <v>45869</v>
      </c>
      <c r="C164" s="138">
        <v>81.834699999999998</v>
      </c>
      <c r="D164" s="79">
        <v>9606</v>
      </c>
      <c r="E164" s="195">
        <f t="shared" si="21"/>
        <v>786104.12820000004</v>
      </c>
      <c r="F164" s="70">
        <v>2580</v>
      </c>
      <c r="G164" s="213">
        <f t="shared" si="20"/>
        <v>211133.52599999998</v>
      </c>
    </row>
    <row r="165" spans="1:14" ht="16.5" hidden="1" outlineLevel="1" thickBot="1" x14ac:dyDescent="0.3">
      <c r="A165" s="58"/>
      <c r="B165" s="59"/>
      <c r="C165" s="241"/>
      <c r="D165" s="207"/>
      <c r="E165" s="60"/>
      <c r="F165" s="207"/>
      <c r="G165" s="61"/>
    </row>
    <row r="166" spans="1:14" s="21" customFormat="1" ht="24" customHeight="1" collapsed="1" thickBot="1" x14ac:dyDescent="0.4">
      <c r="A166" s="264" t="s">
        <v>69</v>
      </c>
      <c r="B166" s="265"/>
      <c r="C166" s="94">
        <f>SUM(C167:C197)/30</f>
        <v>80.165586666666684</v>
      </c>
      <c r="D166" s="206">
        <f>SUM(D167:D197)/20</f>
        <v>9645.85</v>
      </c>
      <c r="E166" s="95">
        <f>SUM(E167:E197)/20</f>
        <v>772695.51262500009</v>
      </c>
      <c r="F166" s="224">
        <f>SUM(F167:F197)/20</f>
        <v>2594.0250000000001</v>
      </c>
      <c r="G166" s="210">
        <f>SUM(G167:G197)/20</f>
        <v>207797.2719625</v>
      </c>
      <c r="H166" s="96"/>
      <c r="I166" s="25">
        <f>((D166-200)*C166*1.2+100000)/1000</f>
        <v>1008.6785281784001</v>
      </c>
      <c r="J166" s="169">
        <f>(F166*C166*1.2+125000)/1000</f>
        <v>374.54184314360003</v>
      </c>
      <c r="K166" s="20"/>
      <c r="L166" s="139">
        <f>(D166+500)*C166*1.2/1000</f>
        <v>976.01762097840015</v>
      </c>
      <c r="M166" s="20"/>
      <c r="N166" s="40"/>
    </row>
    <row r="167" spans="1:14" ht="18.75" hidden="1" outlineLevel="1" x14ac:dyDescent="0.3">
      <c r="A167" s="87">
        <v>1</v>
      </c>
      <c r="B167" s="90">
        <v>45870</v>
      </c>
      <c r="C167" s="97">
        <v>80.316299999999998</v>
      </c>
      <c r="D167" s="78">
        <v>9535.5</v>
      </c>
      <c r="E167" s="196">
        <f>D167*C167</f>
        <v>765856.07865000004</v>
      </c>
      <c r="F167" s="69">
        <v>2545</v>
      </c>
      <c r="G167" s="214">
        <f>C167*F167</f>
        <v>204404.9835</v>
      </c>
      <c r="J167" s="170"/>
      <c r="L167" s="20"/>
    </row>
    <row r="168" spans="1:14" ht="18.75" hidden="1" outlineLevel="1" x14ac:dyDescent="0.3">
      <c r="A168" s="88"/>
      <c r="B168" s="91">
        <v>45871</v>
      </c>
      <c r="C168" s="98">
        <v>80.328900000000004</v>
      </c>
      <c r="D168" s="57"/>
      <c r="E168" s="197"/>
      <c r="F168" s="66"/>
      <c r="G168" s="215"/>
      <c r="J168" s="170"/>
      <c r="L168" s="20"/>
    </row>
    <row r="169" spans="1:14" ht="18.75" hidden="1" outlineLevel="1" x14ac:dyDescent="0.3">
      <c r="A169" s="88"/>
      <c r="B169" s="91">
        <v>45872</v>
      </c>
      <c r="C169" s="98">
        <v>80.328900000000004</v>
      </c>
      <c r="D169" s="57"/>
      <c r="E169" s="197"/>
      <c r="F169" s="66"/>
      <c r="G169" s="215"/>
      <c r="J169" s="170"/>
      <c r="L169" s="20"/>
    </row>
    <row r="170" spans="1:14" hidden="1" outlineLevel="1" x14ac:dyDescent="0.25">
      <c r="A170" s="88">
        <v>2</v>
      </c>
      <c r="B170" s="91">
        <v>45873</v>
      </c>
      <c r="C170" s="98">
        <v>80.328900000000004</v>
      </c>
      <c r="D170" s="57">
        <v>9622.5</v>
      </c>
      <c r="E170" s="197">
        <f t="shared" ref="E170:E196" si="22">D170*C170</f>
        <v>772964.84025000001</v>
      </c>
      <c r="F170" s="66">
        <v>2575</v>
      </c>
      <c r="G170" s="215">
        <f t="shared" ref="G170:G196" si="23">C170*F170</f>
        <v>206846.91750000001</v>
      </c>
      <c r="J170" s="170"/>
    </row>
    <row r="171" spans="1:14" hidden="1" outlineLevel="1" x14ac:dyDescent="0.25">
      <c r="A171" s="88">
        <v>3</v>
      </c>
      <c r="B171" s="91">
        <v>45874</v>
      </c>
      <c r="C171" s="98">
        <v>79.673599999999993</v>
      </c>
      <c r="D171" s="57">
        <v>9576.5</v>
      </c>
      <c r="E171" s="197">
        <f t="shared" si="22"/>
        <v>762994.23039999988</v>
      </c>
      <c r="F171" s="66">
        <v>2568</v>
      </c>
      <c r="G171" s="215">
        <f t="shared" si="23"/>
        <v>204601.80479999998</v>
      </c>
      <c r="J171" s="170"/>
    </row>
    <row r="172" spans="1:14" hidden="1" outlineLevel="1" x14ac:dyDescent="0.25">
      <c r="A172" s="88">
        <v>4</v>
      </c>
      <c r="B172" s="91">
        <v>45875</v>
      </c>
      <c r="C172" s="98">
        <v>80.049000000000007</v>
      </c>
      <c r="D172" s="57">
        <v>9604.5</v>
      </c>
      <c r="E172" s="197">
        <f t="shared" si="22"/>
        <v>768830.62050000008</v>
      </c>
      <c r="F172" s="66">
        <v>2589.5</v>
      </c>
      <c r="G172" s="215">
        <f t="shared" si="23"/>
        <v>207286.8855</v>
      </c>
      <c r="J172" s="170"/>
    </row>
    <row r="173" spans="1:14" hidden="1" outlineLevel="1" x14ac:dyDescent="0.25">
      <c r="A173" s="88">
        <v>5</v>
      </c>
      <c r="B173" s="91">
        <v>45876</v>
      </c>
      <c r="C173" s="98">
        <v>80.191400000000002</v>
      </c>
      <c r="D173" s="57">
        <v>9636.5</v>
      </c>
      <c r="E173" s="197">
        <f t="shared" si="22"/>
        <v>772764.42610000004</v>
      </c>
      <c r="F173" s="66">
        <v>2617</v>
      </c>
      <c r="G173" s="215">
        <f t="shared" si="23"/>
        <v>209860.89379999999</v>
      </c>
      <c r="J173" s="170"/>
    </row>
    <row r="174" spans="1:14" hidden="1" outlineLevel="1" x14ac:dyDescent="0.25">
      <c r="A174" s="88">
        <v>6</v>
      </c>
      <c r="B174" s="91">
        <v>45877</v>
      </c>
      <c r="C174" s="98">
        <v>79.779600000000002</v>
      </c>
      <c r="D174" s="57">
        <v>9627</v>
      </c>
      <c r="E174" s="197">
        <f t="shared" si="22"/>
        <v>768038.20920000004</v>
      </c>
      <c r="F174" s="66">
        <v>2609</v>
      </c>
      <c r="G174" s="215">
        <f t="shared" si="23"/>
        <v>208144.97640000001</v>
      </c>
      <c r="J174" s="170"/>
    </row>
    <row r="175" spans="1:14" hidden="1" outlineLevel="1" x14ac:dyDescent="0.25">
      <c r="A175" s="88"/>
      <c r="B175" s="91">
        <v>45878</v>
      </c>
      <c r="C175" s="98">
        <v>79.779600000000002</v>
      </c>
      <c r="D175" s="57"/>
      <c r="E175" s="197"/>
      <c r="F175" s="66"/>
      <c r="G175" s="215"/>
      <c r="J175" s="170"/>
    </row>
    <row r="176" spans="1:14" hidden="1" outlineLevel="1" x14ac:dyDescent="0.25">
      <c r="A176" s="88"/>
      <c r="B176" s="91">
        <v>45879</v>
      </c>
      <c r="C176" s="98">
        <v>79.779600000000002</v>
      </c>
      <c r="D176" s="57"/>
      <c r="E176" s="197"/>
      <c r="F176" s="66"/>
      <c r="G176" s="215"/>
      <c r="J176" s="170"/>
    </row>
    <row r="177" spans="1:10" hidden="1" outlineLevel="1" x14ac:dyDescent="0.25">
      <c r="A177" s="88">
        <v>7</v>
      </c>
      <c r="B177" s="91">
        <v>45880</v>
      </c>
      <c r="C177" s="98">
        <v>79.779600000000002</v>
      </c>
      <c r="D177" s="57">
        <v>9643.5</v>
      </c>
      <c r="E177" s="197">
        <f t="shared" si="22"/>
        <v>769354.57260000007</v>
      </c>
      <c r="F177" s="66">
        <v>2586.5</v>
      </c>
      <c r="G177" s="215">
        <f t="shared" si="23"/>
        <v>206349.93540000002</v>
      </c>
      <c r="J177" s="170"/>
    </row>
    <row r="178" spans="1:10" hidden="1" outlineLevel="1" x14ac:dyDescent="0.25">
      <c r="A178" s="88">
        <v>8</v>
      </c>
      <c r="B178" s="91">
        <v>45881</v>
      </c>
      <c r="C178" s="98">
        <v>79.667699999999996</v>
      </c>
      <c r="D178" s="57">
        <v>9661.5</v>
      </c>
      <c r="E178" s="197">
        <f t="shared" si="22"/>
        <v>769709.48355</v>
      </c>
      <c r="F178" s="66">
        <v>2605</v>
      </c>
      <c r="G178" s="215">
        <f t="shared" si="23"/>
        <v>207534.3585</v>
      </c>
      <c r="J178" s="170"/>
    </row>
    <row r="179" spans="1:10" hidden="1" outlineLevel="1" x14ac:dyDescent="0.25">
      <c r="A179" s="88">
        <v>9</v>
      </c>
      <c r="B179" s="91">
        <v>45882</v>
      </c>
      <c r="C179" s="98">
        <v>79.871399999999994</v>
      </c>
      <c r="D179" s="57">
        <v>9746.5</v>
      </c>
      <c r="E179" s="197">
        <f t="shared" si="22"/>
        <v>778466.60009999992</v>
      </c>
      <c r="F179" s="66">
        <v>2626</v>
      </c>
      <c r="G179" s="215">
        <f t="shared" si="23"/>
        <v>209742.29639999999</v>
      </c>
      <c r="J179" s="170"/>
    </row>
    <row r="180" spans="1:10" hidden="1" outlineLevel="1" x14ac:dyDescent="0.25">
      <c r="A180" s="88">
        <v>10</v>
      </c>
      <c r="B180" s="91">
        <v>45883</v>
      </c>
      <c r="C180" s="98">
        <v>79.603200000000001</v>
      </c>
      <c r="D180" s="57">
        <v>9665.5</v>
      </c>
      <c r="E180" s="197">
        <f t="shared" si="22"/>
        <v>769404.72959999996</v>
      </c>
      <c r="F180" s="66">
        <v>2608.5</v>
      </c>
      <c r="G180" s="215">
        <f t="shared" si="23"/>
        <v>207644.9472</v>
      </c>
      <c r="J180" s="170"/>
    </row>
    <row r="181" spans="1:10" hidden="1" outlineLevel="1" x14ac:dyDescent="0.25">
      <c r="A181" s="88">
        <v>11</v>
      </c>
      <c r="B181" s="91">
        <v>45884</v>
      </c>
      <c r="C181" s="98">
        <v>79.765299999999996</v>
      </c>
      <c r="D181" s="57">
        <v>9621</v>
      </c>
      <c r="E181" s="197">
        <f t="shared" si="22"/>
        <v>767421.95129999996</v>
      </c>
      <c r="F181" s="66">
        <v>2600</v>
      </c>
      <c r="G181" s="215">
        <f t="shared" si="23"/>
        <v>207389.78</v>
      </c>
      <c r="J181" s="170"/>
    </row>
    <row r="182" spans="1:10" hidden="1" outlineLevel="1" x14ac:dyDescent="0.25">
      <c r="A182" s="88"/>
      <c r="B182" s="91">
        <v>45885</v>
      </c>
      <c r="C182" s="98">
        <v>80.022400000000005</v>
      </c>
      <c r="D182" s="57"/>
      <c r="E182" s="197"/>
      <c r="F182" s="66"/>
      <c r="G182" s="215"/>
      <c r="J182" s="170"/>
    </row>
    <row r="183" spans="1:10" hidden="1" outlineLevel="1" x14ac:dyDescent="0.25">
      <c r="A183" s="88"/>
      <c r="B183" s="91">
        <v>45886</v>
      </c>
      <c r="C183" s="98">
        <v>80.022400000000005</v>
      </c>
      <c r="D183" s="57"/>
      <c r="E183" s="197"/>
      <c r="F183" s="66"/>
      <c r="G183" s="215"/>
      <c r="J183" s="170"/>
    </row>
    <row r="184" spans="1:10" hidden="1" outlineLevel="1" x14ac:dyDescent="0.25">
      <c r="A184" s="88">
        <v>12</v>
      </c>
      <c r="B184" s="91">
        <v>45887</v>
      </c>
      <c r="C184" s="98">
        <v>80.022400000000005</v>
      </c>
      <c r="D184" s="57">
        <v>9626.5</v>
      </c>
      <c r="E184" s="197">
        <f t="shared" ref="E184" si="24">D184*C184</f>
        <v>770335.63360000006</v>
      </c>
      <c r="F184" s="66">
        <v>2586.5</v>
      </c>
      <c r="G184" s="215">
        <f t="shared" ref="G184" si="25">C184*F184</f>
        <v>206977.9376</v>
      </c>
      <c r="J184" s="170"/>
    </row>
    <row r="185" spans="1:10" hidden="1" outlineLevel="1" x14ac:dyDescent="0.25">
      <c r="A185" s="88">
        <v>13</v>
      </c>
      <c r="B185" s="91">
        <v>45888</v>
      </c>
      <c r="C185" s="98">
        <v>80.425600000000003</v>
      </c>
      <c r="D185" s="57">
        <v>9621.5</v>
      </c>
      <c r="E185" s="197">
        <f t="shared" si="22"/>
        <v>773814.91040000005</v>
      </c>
      <c r="F185" s="66">
        <v>2572.5</v>
      </c>
      <c r="G185" s="215">
        <f t="shared" si="23"/>
        <v>206894.856</v>
      </c>
      <c r="J185" s="170"/>
    </row>
    <row r="186" spans="1:10" hidden="1" outlineLevel="1" x14ac:dyDescent="0.25">
      <c r="A186" s="88">
        <v>14</v>
      </c>
      <c r="B186" s="91">
        <v>45889</v>
      </c>
      <c r="C186" s="98">
        <v>80.346599999999995</v>
      </c>
      <c r="D186" s="57">
        <v>9576.5</v>
      </c>
      <c r="E186" s="197">
        <f t="shared" si="22"/>
        <v>769439.2148999999</v>
      </c>
      <c r="F186" s="66">
        <v>2567</v>
      </c>
      <c r="G186" s="215">
        <f t="shared" si="23"/>
        <v>206249.72219999999</v>
      </c>
      <c r="J186" s="170"/>
    </row>
    <row r="187" spans="1:10" hidden="1" outlineLevel="1" x14ac:dyDescent="0.25">
      <c r="A187" s="88">
        <v>15</v>
      </c>
      <c r="B187" s="91">
        <v>45890</v>
      </c>
      <c r="C187" s="98">
        <v>80.104500000000002</v>
      </c>
      <c r="D187" s="57">
        <v>9611</v>
      </c>
      <c r="E187" s="197">
        <f t="shared" si="22"/>
        <v>769884.34950000001</v>
      </c>
      <c r="F187" s="66">
        <v>2570.5</v>
      </c>
      <c r="G187" s="215">
        <f t="shared" si="23"/>
        <v>205908.61725000001</v>
      </c>
      <c r="J187" s="170"/>
    </row>
    <row r="188" spans="1:10" hidden="1" outlineLevel="1" x14ac:dyDescent="0.25">
      <c r="A188" s="88">
        <v>16</v>
      </c>
      <c r="B188" s="91">
        <v>45891</v>
      </c>
      <c r="C188" s="98">
        <v>80.254800000000003</v>
      </c>
      <c r="D188" s="57">
        <v>9643</v>
      </c>
      <c r="E188" s="197">
        <f t="shared" si="22"/>
        <v>773897.03639999998</v>
      </c>
      <c r="F188" s="66">
        <v>2589</v>
      </c>
      <c r="G188" s="215">
        <f t="shared" si="23"/>
        <v>207779.67720000001</v>
      </c>
      <c r="J188" s="170"/>
    </row>
    <row r="189" spans="1:10" hidden="1" outlineLevel="1" x14ac:dyDescent="0.25">
      <c r="A189" s="88"/>
      <c r="B189" s="91">
        <v>45892</v>
      </c>
      <c r="C189" s="98">
        <v>80.749799999999993</v>
      </c>
      <c r="D189" s="57"/>
      <c r="E189" s="197"/>
      <c r="F189" s="66"/>
      <c r="G189" s="215"/>
      <c r="J189" s="170"/>
    </row>
    <row r="190" spans="1:10" hidden="1" outlineLevel="1" x14ac:dyDescent="0.25">
      <c r="A190" s="88"/>
      <c r="B190" s="91">
        <v>45893</v>
      </c>
      <c r="C190" s="98">
        <v>80.749799999999993</v>
      </c>
      <c r="D190" s="57"/>
      <c r="E190" s="197"/>
      <c r="F190" s="66"/>
      <c r="G190" s="215"/>
      <c r="J190" s="170"/>
    </row>
    <row r="191" spans="1:10" hidden="1" outlineLevel="1" x14ac:dyDescent="0.25">
      <c r="A191" s="88">
        <v>17</v>
      </c>
      <c r="B191" s="91">
        <v>45894</v>
      </c>
      <c r="C191" s="98">
        <v>80.749799999999993</v>
      </c>
      <c r="D191" s="57"/>
      <c r="E191" s="197">
        <f t="shared" si="22"/>
        <v>0</v>
      </c>
      <c r="F191" s="66"/>
      <c r="G191" s="215">
        <f t="shared" si="23"/>
        <v>0</v>
      </c>
      <c r="J191" s="170"/>
    </row>
    <row r="192" spans="1:10" hidden="1" outlineLevel="1" x14ac:dyDescent="0.25">
      <c r="A192" s="88">
        <v>18</v>
      </c>
      <c r="B192" s="91">
        <v>45895</v>
      </c>
      <c r="C192" s="98">
        <v>80.684200000000004</v>
      </c>
      <c r="D192" s="57">
        <v>9707.5</v>
      </c>
      <c r="E192" s="197">
        <f t="shared" si="22"/>
        <v>783241.87150000001</v>
      </c>
      <c r="F192" s="66">
        <v>2611.5</v>
      </c>
      <c r="G192" s="215">
        <f t="shared" si="23"/>
        <v>210706.78830000001</v>
      </c>
      <c r="J192" s="170"/>
    </row>
    <row r="193" spans="1:12" hidden="1" outlineLevel="1" x14ac:dyDescent="0.25">
      <c r="A193" s="88">
        <v>19</v>
      </c>
      <c r="B193" s="91">
        <v>45896</v>
      </c>
      <c r="C193" s="98">
        <v>80.526799999999994</v>
      </c>
      <c r="D193" s="57">
        <v>9682</v>
      </c>
      <c r="E193" s="197">
        <f t="shared" si="22"/>
        <v>779660.47759999998</v>
      </c>
      <c r="F193" s="66">
        <v>2618</v>
      </c>
      <c r="G193" s="215">
        <f t="shared" si="23"/>
        <v>210819.16239999997</v>
      </c>
      <c r="J193" s="170"/>
    </row>
    <row r="194" spans="1:12" hidden="1" outlineLevel="1" x14ac:dyDescent="0.25">
      <c r="A194" s="88">
        <v>20</v>
      </c>
      <c r="B194" s="91">
        <v>45897</v>
      </c>
      <c r="C194" s="98">
        <v>80.442099999999996</v>
      </c>
      <c r="D194" s="57">
        <v>9703.5</v>
      </c>
      <c r="E194" s="197">
        <f t="shared" si="22"/>
        <v>780569.91735</v>
      </c>
      <c r="F194" s="66">
        <v>2615</v>
      </c>
      <c r="G194" s="215">
        <f t="shared" si="23"/>
        <v>210356.09149999998</v>
      </c>
      <c r="J194" s="170"/>
    </row>
    <row r="195" spans="1:12" hidden="1" outlineLevel="1" x14ac:dyDescent="0.25">
      <c r="A195" s="88">
        <v>21</v>
      </c>
      <c r="B195" s="91">
        <v>45898</v>
      </c>
      <c r="C195" s="98">
        <v>80.291799999999995</v>
      </c>
      <c r="D195" s="57">
        <v>9805</v>
      </c>
      <c r="E195" s="197">
        <f t="shared" si="22"/>
        <v>787261.09899999993</v>
      </c>
      <c r="F195" s="66">
        <v>2621</v>
      </c>
      <c r="G195" s="215">
        <f t="shared" si="23"/>
        <v>210444.80779999998</v>
      </c>
      <c r="J195" s="170"/>
    </row>
    <row r="196" spans="1:12" hidden="1" outlineLevel="1" x14ac:dyDescent="0.25">
      <c r="A196" s="88"/>
      <c r="B196" s="91">
        <v>45899</v>
      </c>
      <c r="C196" s="98">
        <v>80.331599999999995</v>
      </c>
      <c r="D196" s="57"/>
      <c r="E196" s="197">
        <f t="shared" si="22"/>
        <v>0</v>
      </c>
      <c r="F196" s="66"/>
      <c r="G196" s="215">
        <f t="shared" si="23"/>
        <v>0</v>
      </c>
      <c r="J196" s="170"/>
    </row>
    <row r="197" spans="1:12" ht="16.5" hidden="1" outlineLevel="1" thickBot="1" x14ac:dyDescent="0.3">
      <c r="A197" s="140"/>
      <c r="B197" s="141">
        <v>45900</v>
      </c>
      <c r="C197" s="142"/>
      <c r="D197" s="143"/>
      <c r="E197" s="198"/>
      <c r="F197" s="144"/>
      <c r="G197" s="216"/>
      <c r="J197" s="170"/>
    </row>
    <row r="198" spans="1:12" ht="16.5" hidden="1" outlineLevel="1" thickBot="1" x14ac:dyDescent="0.3">
      <c r="A198" s="58"/>
      <c r="B198" s="59"/>
      <c r="C198" s="241"/>
      <c r="D198" s="207"/>
      <c r="E198" s="60"/>
      <c r="F198" s="207"/>
      <c r="G198" s="61"/>
      <c r="J198" s="170"/>
    </row>
    <row r="199" spans="1:12" ht="24" collapsed="1" thickBot="1" x14ac:dyDescent="0.4">
      <c r="A199" s="264" t="s">
        <v>71</v>
      </c>
      <c r="B199" s="265"/>
      <c r="C199" s="94">
        <f>SUM(C200:C230)/30</f>
        <v>82.966456666666701</v>
      </c>
      <c r="D199" s="206">
        <f>SUM(D200:D230)/22</f>
        <v>9952.704545454546</v>
      </c>
      <c r="E199" s="95">
        <f>SUM(E200:E230)/22</f>
        <v>824697.36016136373</v>
      </c>
      <c r="F199" s="224">
        <f>SUM(F200:F230)/22</f>
        <v>2653.25</v>
      </c>
      <c r="G199" s="210">
        <f>SUM(G200:G230)/22</f>
        <v>219857.72988409095</v>
      </c>
      <c r="H199" s="145"/>
      <c r="I199" s="25">
        <f>((D199-0)*C199*1.2+100000)/1000</f>
        <v>1090.8887564639094</v>
      </c>
      <c r="J199" s="169">
        <f>(F199*C199*1.2+100000)/1000</f>
        <v>364.15690138100007</v>
      </c>
      <c r="L199" s="139">
        <f>(D199+750)*C199*1.2/1000</f>
        <v>1065.5585674639094</v>
      </c>
    </row>
    <row r="200" spans="1:12" hidden="1" outlineLevel="1" x14ac:dyDescent="0.25">
      <c r="A200" s="87">
        <v>1</v>
      </c>
      <c r="B200" s="90">
        <v>45901</v>
      </c>
      <c r="C200" s="97">
        <v>80.331599999999995</v>
      </c>
      <c r="D200" s="78">
        <v>9804.5</v>
      </c>
      <c r="E200" s="196">
        <f>C200*D200</f>
        <v>787611.17219999991</v>
      </c>
      <c r="F200" s="69">
        <v>2612.5</v>
      </c>
      <c r="G200" s="214">
        <f>C200*F200</f>
        <v>209866.30499999999</v>
      </c>
    </row>
    <row r="201" spans="1:12" hidden="1" outlineLevel="1" x14ac:dyDescent="0.25">
      <c r="A201" s="88">
        <v>2</v>
      </c>
      <c r="B201" s="91">
        <v>45902</v>
      </c>
      <c r="C201" s="98">
        <v>80.426100000000005</v>
      </c>
      <c r="D201" s="57">
        <v>9773</v>
      </c>
      <c r="E201" s="199">
        <f>C201*D201</f>
        <v>786004.2753000001</v>
      </c>
      <c r="F201" s="66">
        <v>2615</v>
      </c>
      <c r="G201" s="215">
        <f>C201*F201</f>
        <v>210314.25150000001</v>
      </c>
    </row>
    <row r="202" spans="1:12" hidden="1" outlineLevel="1" x14ac:dyDescent="0.25">
      <c r="A202" s="88">
        <v>3</v>
      </c>
      <c r="B202" s="91">
        <v>45903</v>
      </c>
      <c r="C202" s="98">
        <v>80.594700000000003</v>
      </c>
      <c r="D202" s="57">
        <v>9873</v>
      </c>
      <c r="E202" s="199">
        <f t="shared" ref="E202:E204" si="26">C202*D202</f>
        <v>795711.47310000006</v>
      </c>
      <c r="F202" s="66">
        <v>2617</v>
      </c>
      <c r="G202" s="215">
        <f t="shared" ref="G202:G204" si="27">C202*F202</f>
        <v>210916.32990000001</v>
      </c>
    </row>
    <row r="203" spans="1:12" hidden="1" outlineLevel="1" x14ac:dyDescent="0.25">
      <c r="A203" s="88">
        <v>4</v>
      </c>
      <c r="B203" s="91">
        <v>45904</v>
      </c>
      <c r="C203" s="98">
        <v>80.848799999999997</v>
      </c>
      <c r="D203" s="57">
        <v>9813</v>
      </c>
      <c r="E203" s="199">
        <f t="shared" si="26"/>
        <v>793369.27439999999</v>
      </c>
      <c r="F203" s="66">
        <v>2606</v>
      </c>
      <c r="G203" s="215">
        <f t="shared" si="27"/>
        <v>210691.97279999999</v>
      </c>
    </row>
    <row r="204" spans="1:12" hidden="1" outlineLevel="1" x14ac:dyDescent="0.25">
      <c r="A204" s="88">
        <v>5</v>
      </c>
      <c r="B204" s="91">
        <v>45905</v>
      </c>
      <c r="C204" s="98">
        <v>81.297700000000006</v>
      </c>
      <c r="D204" s="57">
        <v>9881</v>
      </c>
      <c r="E204" s="199">
        <f t="shared" si="26"/>
        <v>803302.57370000007</v>
      </c>
      <c r="F204" s="66">
        <v>2616</v>
      </c>
      <c r="G204" s="215">
        <f t="shared" si="27"/>
        <v>212674.78320000001</v>
      </c>
    </row>
    <row r="205" spans="1:12" hidden="1" outlineLevel="1" x14ac:dyDescent="0.25">
      <c r="A205" s="88"/>
      <c r="B205" s="91">
        <v>45906</v>
      </c>
      <c r="C205" s="98">
        <v>81.555599999999998</v>
      </c>
      <c r="D205" s="57"/>
      <c r="E205" s="199"/>
      <c r="F205" s="66"/>
      <c r="G205" s="215"/>
    </row>
    <row r="206" spans="1:12" hidden="1" outlineLevel="1" x14ac:dyDescent="0.25">
      <c r="A206" s="88"/>
      <c r="B206" s="91">
        <v>45907</v>
      </c>
      <c r="C206" s="98">
        <v>81.555599999999998</v>
      </c>
      <c r="D206" s="57"/>
      <c r="E206" s="199"/>
      <c r="F206" s="66"/>
      <c r="G206" s="215"/>
    </row>
    <row r="207" spans="1:12" hidden="1" outlineLevel="1" x14ac:dyDescent="0.25">
      <c r="A207" s="88">
        <v>6</v>
      </c>
      <c r="B207" s="91">
        <v>45908</v>
      </c>
      <c r="C207" s="98">
        <v>81.555599999999998</v>
      </c>
      <c r="D207" s="57">
        <v>9810.5</v>
      </c>
      <c r="E207" s="199">
        <f t="shared" ref="E207:E229" si="28">C207*D207</f>
        <v>800101.21380000003</v>
      </c>
      <c r="F207" s="66">
        <v>2613.5</v>
      </c>
      <c r="G207" s="215">
        <f t="shared" ref="G207:G211" si="29">C207*F207</f>
        <v>213145.5606</v>
      </c>
    </row>
    <row r="208" spans="1:12" hidden="1" outlineLevel="1" x14ac:dyDescent="0.25">
      <c r="A208" s="88">
        <v>7</v>
      </c>
      <c r="B208" s="91">
        <v>45909</v>
      </c>
      <c r="C208" s="98">
        <v>82.339699999999993</v>
      </c>
      <c r="D208" s="57">
        <v>9822.5</v>
      </c>
      <c r="E208" s="199">
        <f t="shared" si="28"/>
        <v>808781.7032499999</v>
      </c>
      <c r="F208" s="66">
        <v>2621</v>
      </c>
      <c r="G208" s="215">
        <f t="shared" si="29"/>
        <v>215812.35369999998</v>
      </c>
    </row>
    <row r="209" spans="1:7" hidden="1" outlineLevel="1" x14ac:dyDescent="0.25">
      <c r="A209" s="88">
        <v>8</v>
      </c>
      <c r="B209" s="91">
        <v>45910</v>
      </c>
      <c r="C209" s="98">
        <v>83.242500000000007</v>
      </c>
      <c r="D209" s="57">
        <v>9847</v>
      </c>
      <c r="E209" s="199">
        <f t="shared" si="28"/>
        <v>819688.89750000008</v>
      </c>
      <c r="F209" s="66">
        <v>2623.5</v>
      </c>
      <c r="G209" s="215">
        <f t="shared" si="29"/>
        <v>218386.69875000001</v>
      </c>
    </row>
    <row r="210" spans="1:7" hidden="1" outlineLevel="1" x14ac:dyDescent="0.25">
      <c r="A210" s="88">
        <v>9</v>
      </c>
      <c r="B210" s="91">
        <v>45911</v>
      </c>
      <c r="C210" s="98">
        <v>84.921099999999996</v>
      </c>
      <c r="D210" s="57">
        <v>9926</v>
      </c>
      <c r="E210" s="199">
        <f t="shared" si="28"/>
        <v>842926.8385999999</v>
      </c>
      <c r="F210" s="66">
        <v>2656</v>
      </c>
      <c r="G210" s="215">
        <f t="shared" si="29"/>
        <v>225550.44159999999</v>
      </c>
    </row>
    <row r="211" spans="1:7" hidden="1" outlineLevel="1" x14ac:dyDescent="0.25">
      <c r="A211" s="88">
        <v>10</v>
      </c>
      <c r="B211" s="91">
        <v>45912</v>
      </c>
      <c r="C211" s="98">
        <v>85.664699999999996</v>
      </c>
      <c r="D211" s="57">
        <v>10004.5</v>
      </c>
      <c r="E211" s="199">
        <f t="shared" si="28"/>
        <v>857032.49115000002</v>
      </c>
      <c r="F211" s="66">
        <v>2707</v>
      </c>
      <c r="G211" s="215">
        <f t="shared" si="29"/>
        <v>231894.34289999999</v>
      </c>
    </row>
    <row r="212" spans="1:7" hidden="1" outlineLevel="1" x14ac:dyDescent="0.25">
      <c r="A212" s="88"/>
      <c r="B212" s="91">
        <v>45913</v>
      </c>
      <c r="C212" s="98">
        <v>84.379800000000003</v>
      </c>
      <c r="D212" s="57"/>
      <c r="E212" s="199"/>
      <c r="F212" s="66"/>
      <c r="G212" s="215"/>
    </row>
    <row r="213" spans="1:7" hidden="1" outlineLevel="1" x14ac:dyDescent="0.25">
      <c r="A213" s="88"/>
      <c r="B213" s="91">
        <v>45914</v>
      </c>
      <c r="C213" s="98">
        <v>84.379800000000003</v>
      </c>
      <c r="D213" s="57"/>
      <c r="E213" s="199"/>
      <c r="F213" s="66"/>
      <c r="G213" s="215"/>
    </row>
    <row r="214" spans="1:7" hidden="1" outlineLevel="1" x14ac:dyDescent="0.25">
      <c r="A214" s="88">
        <v>11</v>
      </c>
      <c r="B214" s="91">
        <v>45915</v>
      </c>
      <c r="C214" s="98">
        <v>84.379800000000003</v>
      </c>
      <c r="D214" s="57">
        <v>9986</v>
      </c>
      <c r="E214" s="199">
        <f t="shared" si="28"/>
        <v>842616.68280000007</v>
      </c>
      <c r="F214" s="66">
        <v>2693.5</v>
      </c>
      <c r="G214" s="215">
        <f t="shared" ref="G214:G229" si="30">C214*F214</f>
        <v>227276.99129999999</v>
      </c>
    </row>
    <row r="215" spans="1:7" hidden="1" outlineLevel="1" x14ac:dyDescent="0.25">
      <c r="A215" s="88">
        <v>12</v>
      </c>
      <c r="B215" s="91">
        <v>45916</v>
      </c>
      <c r="C215" s="98">
        <v>83.071799999999996</v>
      </c>
      <c r="D215" s="57">
        <v>10071.5</v>
      </c>
      <c r="E215" s="199">
        <f t="shared" si="28"/>
        <v>836657.63370000001</v>
      </c>
      <c r="F215" s="66">
        <v>2736.5</v>
      </c>
      <c r="G215" s="215">
        <f t="shared" si="30"/>
        <v>227325.98069999999</v>
      </c>
    </row>
    <row r="216" spans="1:7" hidden="1" outlineLevel="1" x14ac:dyDescent="0.25">
      <c r="A216" s="88">
        <v>13</v>
      </c>
      <c r="B216" s="91">
        <v>45917</v>
      </c>
      <c r="C216" s="98">
        <v>82.835899999999995</v>
      </c>
      <c r="D216" s="57">
        <v>9894</v>
      </c>
      <c r="E216" s="199">
        <f t="shared" si="28"/>
        <v>819578.3946</v>
      </c>
      <c r="F216" s="66">
        <v>2691</v>
      </c>
      <c r="G216" s="215">
        <f t="shared" si="30"/>
        <v>222911.40689999997</v>
      </c>
    </row>
    <row r="217" spans="1:7" hidden="1" outlineLevel="1" x14ac:dyDescent="0.25">
      <c r="A217" s="88">
        <v>14</v>
      </c>
      <c r="B217" s="91">
        <v>45918</v>
      </c>
      <c r="C217" s="98">
        <v>82.998699999999999</v>
      </c>
      <c r="D217" s="57">
        <v>9895</v>
      </c>
      <c r="E217" s="199">
        <f t="shared" si="28"/>
        <v>821272.13650000002</v>
      </c>
      <c r="F217" s="66">
        <v>2693</v>
      </c>
      <c r="G217" s="215">
        <f t="shared" si="30"/>
        <v>223515.49909999999</v>
      </c>
    </row>
    <row r="218" spans="1:7" hidden="1" outlineLevel="1" x14ac:dyDescent="0.25">
      <c r="A218" s="88">
        <v>15</v>
      </c>
      <c r="B218" s="91">
        <v>45919</v>
      </c>
      <c r="C218" s="98">
        <v>83.172499999999999</v>
      </c>
      <c r="D218" s="57">
        <v>9904</v>
      </c>
      <c r="E218" s="199">
        <f t="shared" si="28"/>
        <v>823740.44</v>
      </c>
      <c r="F218" s="66">
        <v>2689.5</v>
      </c>
      <c r="G218" s="215">
        <f t="shared" si="30"/>
        <v>223692.43875</v>
      </c>
    </row>
    <row r="219" spans="1:7" hidden="1" outlineLevel="1" x14ac:dyDescent="0.25">
      <c r="A219" s="88"/>
      <c r="B219" s="91">
        <v>45920</v>
      </c>
      <c r="C219" s="98">
        <v>83.590400000000002</v>
      </c>
      <c r="D219" s="57"/>
      <c r="E219" s="199"/>
      <c r="F219" s="66"/>
      <c r="G219" s="215"/>
    </row>
    <row r="220" spans="1:7" hidden="1" outlineLevel="1" x14ac:dyDescent="0.25">
      <c r="A220" s="88"/>
      <c r="B220" s="91">
        <v>45921</v>
      </c>
      <c r="C220" s="98">
        <v>83.590400000000002</v>
      </c>
      <c r="D220" s="57"/>
      <c r="E220" s="199"/>
      <c r="F220" s="66"/>
      <c r="G220" s="215"/>
    </row>
    <row r="221" spans="1:7" hidden="1" outlineLevel="1" x14ac:dyDescent="0.25">
      <c r="A221" s="88">
        <v>16</v>
      </c>
      <c r="B221" s="91">
        <v>45922</v>
      </c>
      <c r="C221" s="98">
        <v>83.590400000000002</v>
      </c>
      <c r="D221" s="57">
        <v>9921.5</v>
      </c>
      <c r="E221" s="199">
        <f t="shared" si="28"/>
        <v>829342.15360000008</v>
      </c>
      <c r="F221" s="66">
        <v>2667</v>
      </c>
      <c r="G221" s="215">
        <f t="shared" si="30"/>
        <v>222935.5968</v>
      </c>
    </row>
    <row r="222" spans="1:7" hidden="1" outlineLevel="1" x14ac:dyDescent="0.25">
      <c r="A222" s="88">
        <v>17</v>
      </c>
      <c r="B222" s="91">
        <v>45923</v>
      </c>
      <c r="C222" s="98">
        <v>84.018600000000006</v>
      </c>
      <c r="D222" s="57">
        <v>9900</v>
      </c>
      <c r="E222" s="199">
        <f t="shared" si="28"/>
        <v>831784.14</v>
      </c>
      <c r="F222" s="66">
        <v>2646</v>
      </c>
      <c r="G222" s="215">
        <f t="shared" si="30"/>
        <v>222313.21560000003</v>
      </c>
    </row>
    <row r="223" spans="1:7" hidden="1" outlineLevel="1" x14ac:dyDescent="0.25">
      <c r="A223" s="88">
        <v>18</v>
      </c>
      <c r="B223" s="91">
        <v>45924</v>
      </c>
      <c r="C223" s="98">
        <v>83.3506</v>
      </c>
      <c r="D223" s="57">
        <v>9862</v>
      </c>
      <c r="E223" s="199">
        <f t="shared" si="28"/>
        <v>822003.61719999998</v>
      </c>
      <c r="F223" s="66">
        <v>2623</v>
      </c>
      <c r="G223" s="215">
        <f t="shared" si="30"/>
        <v>218628.6238</v>
      </c>
    </row>
    <row r="224" spans="1:7" hidden="1" outlineLevel="1" x14ac:dyDescent="0.25">
      <c r="A224" s="88">
        <v>19</v>
      </c>
      <c r="B224" s="91">
        <v>45925</v>
      </c>
      <c r="C224" s="98">
        <v>83.991399999999999</v>
      </c>
      <c r="D224" s="57">
        <v>10312</v>
      </c>
      <c r="E224" s="199">
        <f t="shared" si="28"/>
        <v>866119.31680000003</v>
      </c>
      <c r="F224" s="66">
        <v>2661.5</v>
      </c>
      <c r="G224" s="215">
        <f t="shared" si="30"/>
        <v>223543.11110000001</v>
      </c>
    </row>
    <row r="225" spans="1:12" hidden="1" outlineLevel="1" x14ac:dyDescent="0.25">
      <c r="A225" s="88">
        <v>20</v>
      </c>
      <c r="B225" s="91">
        <v>45926</v>
      </c>
      <c r="C225" s="98">
        <v>83.606899999999996</v>
      </c>
      <c r="D225" s="57">
        <v>10125.5</v>
      </c>
      <c r="E225" s="199">
        <f t="shared" si="28"/>
        <v>846561.66594999994</v>
      </c>
      <c r="F225" s="66">
        <v>2642.5</v>
      </c>
      <c r="G225" s="215">
        <f t="shared" si="30"/>
        <v>220931.23324999999</v>
      </c>
    </row>
    <row r="226" spans="1:12" hidden="1" outlineLevel="1" x14ac:dyDescent="0.25">
      <c r="A226" s="88"/>
      <c r="B226" s="91">
        <v>45927</v>
      </c>
      <c r="C226" s="98">
        <v>83.611800000000002</v>
      </c>
      <c r="D226" s="57"/>
      <c r="E226" s="199"/>
      <c r="F226" s="66"/>
      <c r="G226" s="215"/>
    </row>
    <row r="227" spans="1:12" hidden="1" outlineLevel="1" x14ac:dyDescent="0.25">
      <c r="A227" s="88"/>
      <c r="B227" s="91">
        <v>45928</v>
      </c>
      <c r="C227" s="98">
        <v>83.611800000000002</v>
      </c>
      <c r="D227" s="57"/>
      <c r="E227" s="199"/>
      <c r="F227" s="66"/>
      <c r="G227" s="215"/>
    </row>
    <row r="228" spans="1:12" hidden="1" outlineLevel="1" x14ac:dyDescent="0.25">
      <c r="A228" s="88">
        <v>21</v>
      </c>
      <c r="B228" s="91">
        <v>45929</v>
      </c>
      <c r="C228" s="98">
        <v>83.611800000000002</v>
      </c>
      <c r="D228" s="57">
        <v>10233</v>
      </c>
      <c r="E228" s="199">
        <f t="shared" si="28"/>
        <v>855599.54940000002</v>
      </c>
      <c r="F228" s="66">
        <v>2672</v>
      </c>
      <c r="G228" s="215">
        <f t="shared" si="30"/>
        <v>223410.72960000002</v>
      </c>
    </row>
    <row r="229" spans="1:12" hidden="1" outlineLevel="1" x14ac:dyDescent="0.25">
      <c r="A229" s="88">
        <v>22</v>
      </c>
      <c r="B229" s="91">
        <v>45930</v>
      </c>
      <c r="C229" s="98">
        <v>82.867599999999996</v>
      </c>
      <c r="D229" s="57">
        <v>10300</v>
      </c>
      <c r="E229" s="199">
        <f t="shared" si="28"/>
        <v>853536.27999999991</v>
      </c>
      <c r="F229" s="66">
        <v>2668.5</v>
      </c>
      <c r="G229" s="215">
        <f t="shared" si="30"/>
        <v>221132.1906</v>
      </c>
    </row>
    <row r="230" spans="1:12" ht="16.5" hidden="1" outlineLevel="1" thickBot="1" x14ac:dyDescent="0.3">
      <c r="A230" s="140"/>
      <c r="B230" s="91"/>
      <c r="C230" s="142"/>
      <c r="D230" s="143"/>
      <c r="E230" s="199"/>
      <c r="F230" s="70"/>
      <c r="G230" s="215"/>
    </row>
    <row r="231" spans="1:12" ht="16.5" hidden="1" outlineLevel="1" thickBot="1" x14ac:dyDescent="0.3">
      <c r="A231" s="58"/>
      <c r="B231" s="59"/>
      <c r="C231" s="241"/>
      <c r="D231" s="207"/>
      <c r="E231" s="60"/>
      <c r="F231" s="207"/>
      <c r="G231" s="61"/>
    </row>
    <row r="232" spans="1:12" ht="24" collapsed="1" thickBot="1" x14ac:dyDescent="0.4">
      <c r="A232" s="276" t="s">
        <v>72</v>
      </c>
      <c r="B232" s="277"/>
      <c r="C232" s="146">
        <f>SUM(C233:C263)/31</f>
        <v>81.008851612903257</v>
      </c>
      <c r="D232" s="208">
        <f>SUM(D233:D263)/23</f>
        <v>10696</v>
      </c>
      <c r="E232" s="147">
        <f>SUM(E233:E263)/23</f>
        <v>865471.98214782611</v>
      </c>
      <c r="F232" s="157">
        <f>SUM(F233:F263)/23</f>
        <v>2786.521739130435</v>
      </c>
      <c r="G232" s="166">
        <f>SUM(G233:G263)/23</f>
        <v>225458.55448695648</v>
      </c>
      <c r="H232" s="162"/>
      <c r="I232" s="25">
        <f>((D232-100)*C232*1.2+100000)/1000</f>
        <v>1130.0437500283874</v>
      </c>
      <c r="J232" s="25">
        <f>(F232*C232*1.2+100000)/1000</f>
        <v>370.87951129761581</v>
      </c>
      <c r="K232" s="20">
        <v>360</v>
      </c>
      <c r="L232" s="139">
        <f>(D232+750)*C232*1.2/1000</f>
        <v>1112.6727786735487</v>
      </c>
    </row>
    <row r="233" spans="1:12" ht="18.75" hidden="1" outlineLevel="1" x14ac:dyDescent="0.3">
      <c r="A233" s="87">
        <v>1</v>
      </c>
      <c r="B233" s="90">
        <v>45931</v>
      </c>
      <c r="C233" s="97">
        <v>82.608400000000003</v>
      </c>
      <c r="D233" s="78">
        <v>10263</v>
      </c>
      <c r="E233" s="196">
        <f>C233*D233</f>
        <v>847810.00920000009</v>
      </c>
      <c r="F233" s="69">
        <v>2683.5</v>
      </c>
      <c r="G233" s="214">
        <f>C233*F233</f>
        <v>221679.64140000002</v>
      </c>
      <c r="H233" s="162"/>
      <c r="K233" s="20"/>
    </row>
    <row r="234" spans="1:12" ht="18.75" hidden="1" outlineLevel="1" x14ac:dyDescent="0.3">
      <c r="A234" s="88">
        <v>2</v>
      </c>
      <c r="B234" s="91">
        <v>45932</v>
      </c>
      <c r="C234" s="98">
        <v>81.496700000000004</v>
      </c>
      <c r="D234" s="57">
        <v>10455</v>
      </c>
      <c r="E234" s="199">
        <f>C234*D234</f>
        <v>852047.99849999999</v>
      </c>
      <c r="F234" s="66">
        <v>2705</v>
      </c>
      <c r="G234" s="215">
        <f>C234*F234</f>
        <v>220448.5735</v>
      </c>
      <c r="H234" s="162"/>
      <c r="K234" s="20"/>
    </row>
    <row r="235" spans="1:12" ht="18.75" hidden="1" outlineLevel="1" x14ac:dyDescent="0.3">
      <c r="A235" s="88">
        <v>3</v>
      </c>
      <c r="B235" s="91">
        <v>45933</v>
      </c>
      <c r="C235" s="98">
        <v>81.008499999999998</v>
      </c>
      <c r="D235" s="57">
        <v>10537.5</v>
      </c>
      <c r="E235" s="199">
        <f>C235*D235</f>
        <v>853627.06874999998</v>
      </c>
      <c r="F235" s="66">
        <v>2703</v>
      </c>
      <c r="G235" s="215">
        <f>C235*F235</f>
        <v>218965.9755</v>
      </c>
      <c r="H235" s="162"/>
      <c r="K235" s="20"/>
    </row>
    <row r="236" spans="1:12" ht="18.75" hidden="1" outlineLevel="1" x14ac:dyDescent="0.3">
      <c r="A236" s="88"/>
      <c r="B236" s="91">
        <v>45934</v>
      </c>
      <c r="C236" s="98">
        <v>81.896900000000002</v>
      </c>
      <c r="D236" s="57"/>
      <c r="E236" s="199"/>
      <c r="F236" s="66"/>
      <c r="G236" s="215"/>
      <c r="H236" s="162"/>
      <c r="K236" s="20"/>
    </row>
    <row r="237" spans="1:12" ht="18.75" hidden="1" outlineLevel="1" x14ac:dyDescent="0.3">
      <c r="A237" s="88"/>
      <c r="B237" s="91">
        <v>45935</v>
      </c>
      <c r="C237" s="98">
        <v>81.896900000000002</v>
      </c>
      <c r="D237" s="57"/>
      <c r="E237" s="199"/>
      <c r="F237" s="66"/>
      <c r="G237" s="215"/>
      <c r="H237" s="162"/>
      <c r="K237" s="20"/>
    </row>
    <row r="238" spans="1:12" ht="18.75" hidden="1" outlineLevel="1" x14ac:dyDescent="0.3">
      <c r="A238" s="88">
        <v>4</v>
      </c>
      <c r="B238" s="91">
        <v>45936</v>
      </c>
      <c r="C238" s="98">
        <v>81.896900000000002</v>
      </c>
      <c r="D238" s="57">
        <v>10609.5</v>
      </c>
      <c r="E238" s="199">
        <f t="shared" ref="E238:E261" si="31">C238*D238</f>
        <v>868885.16055000003</v>
      </c>
      <c r="F238" s="66">
        <v>2713</v>
      </c>
      <c r="G238" s="215">
        <f t="shared" ref="G238:G261" si="32">C238*F238</f>
        <v>222186.28969999999</v>
      </c>
      <c r="H238" s="162"/>
      <c r="K238" s="20"/>
    </row>
    <row r="239" spans="1:12" ht="18.75" hidden="1" outlineLevel="1" x14ac:dyDescent="0.3">
      <c r="A239" s="88">
        <v>5</v>
      </c>
      <c r="B239" s="91">
        <v>45937</v>
      </c>
      <c r="C239" s="98">
        <v>83</v>
      </c>
      <c r="D239" s="57">
        <v>10643</v>
      </c>
      <c r="E239" s="199">
        <f t="shared" si="31"/>
        <v>883369</v>
      </c>
      <c r="F239" s="66">
        <v>2713.5</v>
      </c>
      <c r="G239" s="215">
        <f t="shared" si="32"/>
        <v>225220.5</v>
      </c>
      <c r="H239" s="162"/>
      <c r="K239" s="20"/>
    </row>
    <row r="240" spans="1:12" ht="18.75" hidden="1" outlineLevel="1" x14ac:dyDescent="0.3">
      <c r="A240" s="88">
        <v>6</v>
      </c>
      <c r="B240" s="91">
        <v>45938</v>
      </c>
      <c r="C240" s="98">
        <v>81.934899999999999</v>
      </c>
      <c r="D240" s="57">
        <v>10738</v>
      </c>
      <c r="E240" s="199">
        <f t="shared" si="31"/>
        <v>879816.95620000002</v>
      </c>
      <c r="F240" s="66">
        <v>2750.5</v>
      </c>
      <c r="G240" s="215">
        <f t="shared" si="32"/>
        <v>225361.94245</v>
      </c>
      <c r="H240" s="162"/>
      <c r="K240" s="20"/>
    </row>
    <row r="241" spans="1:11" ht="18.75" hidden="1" outlineLevel="1" x14ac:dyDescent="0.3">
      <c r="A241" s="88">
        <v>7</v>
      </c>
      <c r="B241" s="91">
        <v>45939</v>
      </c>
      <c r="C241" s="98">
        <v>81.547799999999995</v>
      </c>
      <c r="D241" s="57">
        <v>10866.5</v>
      </c>
      <c r="E241" s="199">
        <f t="shared" si="31"/>
        <v>886139.16869999992</v>
      </c>
      <c r="F241" s="66">
        <v>2786.5</v>
      </c>
      <c r="G241" s="215">
        <f t="shared" si="32"/>
        <v>227232.94469999999</v>
      </c>
      <c r="H241" s="162"/>
      <c r="K241" s="20"/>
    </row>
    <row r="242" spans="1:11" ht="18.75" hidden="1" outlineLevel="1" x14ac:dyDescent="0.3">
      <c r="A242" s="88">
        <v>8</v>
      </c>
      <c r="B242" s="91">
        <v>45940</v>
      </c>
      <c r="C242" s="98">
        <v>81.410300000000007</v>
      </c>
      <c r="D242" s="57">
        <v>10735</v>
      </c>
      <c r="E242" s="199">
        <f t="shared" ref="E242" si="33">C242*D242</f>
        <v>873939.57050000003</v>
      </c>
      <c r="F242" s="66">
        <v>2799.5</v>
      </c>
      <c r="G242" s="215">
        <f t="shared" ref="G242" si="34">C242*F242</f>
        <v>227908.13485000003</v>
      </c>
      <c r="H242" s="162"/>
      <c r="K242" s="20"/>
    </row>
    <row r="243" spans="1:11" ht="18.75" hidden="1" outlineLevel="1" x14ac:dyDescent="0.3">
      <c r="A243" s="88"/>
      <c r="B243" s="91">
        <v>45941</v>
      </c>
      <c r="C243" s="98">
        <v>81.189800000000005</v>
      </c>
      <c r="D243" s="57"/>
      <c r="E243" s="199"/>
      <c r="F243" s="66"/>
      <c r="G243" s="215"/>
      <c r="H243" s="162"/>
      <c r="K243" s="20"/>
    </row>
    <row r="244" spans="1:11" ht="18.75" hidden="1" outlineLevel="1" x14ac:dyDescent="0.3">
      <c r="A244" s="88"/>
      <c r="B244" s="91">
        <v>45942</v>
      </c>
      <c r="C244" s="98">
        <v>81.189800000000005</v>
      </c>
      <c r="D244" s="57"/>
      <c r="E244" s="199"/>
      <c r="F244" s="66"/>
      <c r="G244" s="215"/>
      <c r="H244" s="162"/>
      <c r="K244" s="20"/>
    </row>
    <row r="245" spans="1:11" ht="18.75" hidden="1" outlineLevel="1" x14ac:dyDescent="0.3">
      <c r="A245" s="88">
        <v>9</v>
      </c>
      <c r="B245" s="91">
        <v>45943</v>
      </c>
      <c r="C245" s="98">
        <v>81.189800000000005</v>
      </c>
      <c r="D245" s="57">
        <v>10617</v>
      </c>
      <c r="E245" s="199">
        <f t="shared" si="31"/>
        <v>861992.10660000006</v>
      </c>
      <c r="F245" s="66">
        <v>2774</v>
      </c>
      <c r="G245" s="215">
        <f t="shared" si="32"/>
        <v>225220.50520000001</v>
      </c>
      <c r="H245" s="162"/>
      <c r="K245" s="20"/>
    </row>
    <row r="246" spans="1:11" ht="18.75" hidden="1" outlineLevel="1" x14ac:dyDescent="0.3">
      <c r="A246" s="88">
        <v>10</v>
      </c>
      <c r="B246" s="91">
        <v>45944</v>
      </c>
      <c r="C246" s="98">
        <v>80.854799999999997</v>
      </c>
      <c r="D246" s="57">
        <v>10600</v>
      </c>
      <c r="E246" s="199">
        <f t="shared" si="31"/>
        <v>857060.88</v>
      </c>
      <c r="F246" s="66">
        <v>2734</v>
      </c>
      <c r="G246" s="215">
        <f t="shared" si="32"/>
        <v>221057.0232</v>
      </c>
      <c r="H246" s="162"/>
      <c r="K246" s="20"/>
    </row>
    <row r="247" spans="1:11" ht="18.75" hidden="1" outlineLevel="1" x14ac:dyDescent="0.3">
      <c r="A247" s="88">
        <v>11</v>
      </c>
      <c r="B247" s="91">
        <v>45945</v>
      </c>
      <c r="C247" s="98">
        <v>79.9589</v>
      </c>
      <c r="D247" s="57">
        <v>10702</v>
      </c>
      <c r="E247" s="199">
        <f t="shared" si="31"/>
        <v>855720.14780000004</v>
      </c>
      <c r="F247" s="66">
        <v>2752.5</v>
      </c>
      <c r="G247" s="215">
        <f t="shared" si="32"/>
        <v>220086.87224999999</v>
      </c>
      <c r="H247" s="162"/>
      <c r="K247" s="20"/>
    </row>
    <row r="248" spans="1:11" ht="18.75" hidden="1" outlineLevel="1" x14ac:dyDescent="0.3">
      <c r="A248" s="88">
        <v>12</v>
      </c>
      <c r="B248" s="91">
        <v>45946</v>
      </c>
      <c r="C248" s="98">
        <v>78.838999999999999</v>
      </c>
      <c r="D248" s="57">
        <v>10495</v>
      </c>
      <c r="E248" s="199">
        <f t="shared" si="31"/>
        <v>827415.30499999993</v>
      </c>
      <c r="F248" s="66">
        <v>2775</v>
      </c>
      <c r="G248" s="215">
        <f t="shared" si="32"/>
        <v>218778.22500000001</v>
      </c>
      <c r="H248" s="162"/>
      <c r="K248" s="20"/>
    </row>
    <row r="249" spans="1:11" ht="18.75" hidden="1" outlineLevel="1" x14ac:dyDescent="0.3">
      <c r="A249" s="88">
        <v>13</v>
      </c>
      <c r="B249" s="91">
        <v>45947</v>
      </c>
      <c r="C249" s="98">
        <v>79.0839</v>
      </c>
      <c r="D249" s="57">
        <v>10527.5</v>
      </c>
      <c r="E249" s="199">
        <f t="shared" ref="E249:E250" si="35">C249*D249</f>
        <v>832555.75725000002</v>
      </c>
      <c r="F249" s="66">
        <v>2789.5</v>
      </c>
      <c r="G249" s="215">
        <f t="shared" ref="G249:G250" si="36">C249*F249</f>
        <v>220604.53904999999</v>
      </c>
      <c r="H249" s="162"/>
      <c r="K249" s="20"/>
    </row>
    <row r="250" spans="1:11" ht="18.75" hidden="1" outlineLevel="1" x14ac:dyDescent="0.3">
      <c r="A250" s="88"/>
      <c r="B250" s="91">
        <v>45948</v>
      </c>
      <c r="C250" s="98">
        <v>80.983400000000003</v>
      </c>
      <c r="D250" s="57"/>
      <c r="E250" s="199">
        <f t="shared" si="35"/>
        <v>0</v>
      </c>
      <c r="F250" s="66"/>
      <c r="G250" s="215">
        <f t="shared" si="36"/>
        <v>0</v>
      </c>
      <c r="H250" s="162"/>
      <c r="K250" s="20"/>
    </row>
    <row r="251" spans="1:11" ht="18.75" hidden="1" outlineLevel="1" x14ac:dyDescent="0.3">
      <c r="A251" s="88"/>
      <c r="B251" s="91">
        <v>45949</v>
      </c>
      <c r="C251" s="98">
        <v>80.983400000000003</v>
      </c>
      <c r="D251" s="57"/>
      <c r="E251" s="199"/>
      <c r="F251" s="66"/>
      <c r="G251" s="215"/>
      <c r="H251" s="162"/>
      <c r="K251" s="20"/>
    </row>
    <row r="252" spans="1:11" ht="18.75" hidden="1" outlineLevel="1" x14ac:dyDescent="0.3">
      <c r="A252" s="88">
        <v>14</v>
      </c>
      <c r="B252" s="91">
        <v>45950</v>
      </c>
      <c r="C252" s="98">
        <v>80.983400000000003</v>
      </c>
      <c r="D252" s="57">
        <v>10581</v>
      </c>
      <c r="E252" s="199">
        <f t="shared" si="31"/>
        <v>856885.3554</v>
      </c>
      <c r="F252" s="66">
        <v>2773</v>
      </c>
      <c r="G252" s="215">
        <f t="shared" si="32"/>
        <v>224566.9682</v>
      </c>
      <c r="H252" s="162"/>
      <c r="K252" s="20"/>
    </row>
    <row r="253" spans="1:11" ht="18.75" hidden="1" outlineLevel="1" x14ac:dyDescent="0.3">
      <c r="A253" s="88">
        <v>15</v>
      </c>
      <c r="B253" s="91">
        <v>45951</v>
      </c>
      <c r="C253" s="98">
        <v>81.358199999999997</v>
      </c>
      <c r="D253" s="57">
        <v>10612</v>
      </c>
      <c r="E253" s="199">
        <f t="shared" si="31"/>
        <v>863373.21840000001</v>
      </c>
      <c r="F253" s="66">
        <v>2781</v>
      </c>
      <c r="G253" s="215">
        <f t="shared" si="32"/>
        <v>226257.15419999999</v>
      </c>
      <c r="H253" s="162"/>
      <c r="K253" s="20"/>
    </row>
    <row r="254" spans="1:11" ht="18.75" hidden="1" outlineLevel="1" x14ac:dyDescent="0.3">
      <c r="A254" s="88">
        <v>16</v>
      </c>
      <c r="B254" s="91">
        <v>45952</v>
      </c>
      <c r="C254" s="98">
        <v>81.347499999999997</v>
      </c>
      <c r="D254" s="57">
        <v>10600</v>
      </c>
      <c r="E254" s="199">
        <f t="shared" si="31"/>
        <v>862283.5</v>
      </c>
      <c r="F254" s="66">
        <v>2818</v>
      </c>
      <c r="G254" s="215">
        <f t="shared" si="32"/>
        <v>229237.255</v>
      </c>
      <c r="H254" s="162"/>
      <c r="K254" s="20"/>
    </row>
    <row r="255" spans="1:11" ht="18.75" hidden="1" outlineLevel="1" x14ac:dyDescent="0.3">
      <c r="A255" s="88">
        <v>17</v>
      </c>
      <c r="B255" s="91">
        <v>45953</v>
      </c>
      <c r="C255" s="98">
        <v>81.654899999999998</v>
      </c>
      <c r="D255" s="57">
        <v>10797</v>
      </c>
      <c r="E255" s="199">
        <f t="shared" si="31"/>
        <v>881627.95530000003</v>
      </c>
      <c r="F255" s="66">
        <v>2845</v>
      </c>
      <c r="G255" s="215">
        <f t="shared" si="32"/>
        <v>232308.1905</v>
      </c>
      <c r="H255" s="162"/>
      <c r="K255" s="20"/>
    </row>
    <row r="256" spans="1:11" ht="18.75" hidden="1" outlineLevel="1" x14ac:dyDescent="0.3">
      <c r="A256" s="88">
        <v>18</v>
      </c>
      <c r="B256" s="91">
        <v>45954</v>
      </c>
      <c r="C256" s="98">
        <v>81.269000000000005</v>
      </c>
      <c r="D256" s="57">
        <v>10807</v>
      </c>
      <c r="E256" s="199">
        <f t="shared" ref="E256" si="37">C256*D256</f>
        <v>878274.0830000001</v>
      </c>
      <c r="F256" s="66">
        <v>2853</v>
      </c>
      <c r="G256" s="215">
        <f t="shared" ref="G256" si="38">C256*F256</f>
        <v>231860.45700000002</v>
      </c>
      <c r="H256" s="162"/>
      <c r="K256" s="20"/>
    </row>
    <row r="257" spans="1:11" ht="18.75" hidden="1" outlineLevel="1" x14ac:dyDescent="0.3">
      <c r="A257" s="88"/>
      <c r="B257" s="91">
        <v>45955</v>
      </c>
      <c r="C257" s="98">
        <v>80.971299999999999</v>
      </c>
      <c r="D257" s="57"/>
      <c r="E257" s="199"/>
      <c r="F257" s="66"/>
      <c r="G257" s="215"/>
      <c r="H257" s="162"/>
      <c r="K257" s="20"/>
    </row>
    <row r="258" spans="1:11" ht="18.75" hidden="1" outlineLevel="1" x14ac:dyDescent="0.3">
      <c r="A258" s="88"/>
      <c r="B258" s="91">
        <v>45956</v>
      </c>
      <c r="C258" s="98">
        <v>80.971299999999999</v>
      </c>
      <c r="D258" s="57"/>
      <c r="E258" s="199"/>
      <c r="F258" s="66"/>
      <c r="G258" s="215"/>
      <c r="H258" s="162"/>
      <c r="K258" s="20"/>
    </row>
    <row r="259" spans="1:11" ht="18.75" hidden="1" outlineLevel="1" x14ac:dyDescent="0.3">
      <c r="A259" s="88">
        <v>19</v>
      </c>
      <c r="B259" s="91">
        <v>45957</v>
      </c>
      <c r="C259" s="98">
        <v>80.971299999999999</v>
      </c>
      <c r="D259" s="57">
        <v>10987</v>
      </c>
      <c r="E259" s="199">
        <f t="shared" si="31"/>
        <v>889631.67310000001</v>
      </c>
      <c r="F259" s="66">
        <v>2879</v>
      </c>
      <c r="G259" s="215">
        <f t="shared" si="32"/>
        <v>233116.37270000001</v>
      </c>
      <c r="H259" s="162"/>
      <c r="K259" s="20"/>
    </row>
    <row r="260" spans="1:11" ht="18.75" hidden="1" outlineLevel="1" x14ac:dyDescent="0.3">
      <c r="A260" s="88">
        <v>20</v>
      </c>
      <c r="B260" s="91">
        <v>45958</v>
      </c>
      <c r="C260" s="98">
        <v>78.984800000000007</v>
      </c>
      <c r="D260" s="57">
        <v>10917</v>
      </c>
      <c r="E260" s="199">
        <f t="shared" si="31"/>
        <v>862277.06160000013</v>
      </c>
      <c r="F260" s="66">
        <v>2859</v>
      </c>
      <c r="G260" s="215">
        <f t="shared" si="32"/>
        <v>225817.54320000001</v>
      </c>
      <c r="H260" s="162"/>
      <c r="K260" s="20"/>
    </row>
    <row r="261" spans="1:11" ht="18.75" hidden="1" outlineLevel="1" x14ac:dyDescent="0.3">
      <c r="A261" s="88">
        <v>21</v>
      </c>
      <c r="B261" s="91">
        <v>45959</v>
      </c>
      <c r="C261" s="98">
        <v>79.817400000000006</v>
      </c>
      <c r="D261" s="57">
        <v>11067.5</v>
      </c>
      <c r="E261" s="199">
        <f t="shared" si="31"/>
        <v>883379.0745000001</v>
      </c>
      <c r="F261" s="66">
        <v>2891.5</v>
      </c>
      <c r="G261" s="215">
        <f t="shared" si="32"/>
        <v>230792.01210000002</v>
      </c>
      <c r="H261" s="162"/>
      <c r="K261" s="20"/>
    </row>
    <row r="262" spans="1:11" ht="18.75" hidden="1" outlineLevel="1" x14ac:dyDescent="0.3">
      <c r="A262" s="88">
        <v>22</v>
      </c>
      <c r="B262" s="91">
        <v>45960</v>
      </c>
      <c r="C262" s="98">
        <v>79.471500000000006</v>
      </c>
      <c r="D262" s="57">
        <v>10949</v>
      </c>
      <c r="E262" s="199">
        <f t="shared" ref="E262:E263" si="39">C262*D262</f>
        <v>870133.45350000006</v>
      </c>
      <c r="F262" s="66">
        <v>2826</v>
      </c>
      <c r="G262" s="215">
        <f t="shared" ref="G262:G263" si="40">C262*F262</f>
        <v>224586.459</v>
      </c>
      <c r="H262" s="162"/>
      <c r="K262" s="20"/>
    </row>
    <row r="263" spans="1:11" ht="19.5" hidden="1" outlineLevel="1" thickBot="1" x14ac:dyDescent="0.35">
      <c r="A263" s="140">
        <v>23</v>
      </c>
      <c r="B263" s="91">
        <v>45961</v>
      </c>
      <c r="C263" s="142">
        <v>80.503699999999995</v>
      </c>
      <c r="D263" s="143">
        <v>10901.5</v>
      </c>
      <c r="E263" s="199">
        <f t="shared" si="39"/>
        <v>877611.08554999996</v>
      </c>
      <c r="F263" s="66">
        <v>2885</v>
      </c>
      <c r="G263" s="215">
        <f t="shared" si="40"/>
        <v>232253.17449999999</v>
      </c>
      <c r="H263" s="162"/>
      <c r="K263" s="20"/>
    </row>
    <row r="264" spans="1:11" ht="19.5" hidden="1" outlineLevel="1" thickBot="1" x14ac:dyDescent="0.35">
      <c r="A264" s="58"/>
      <c r="B264" s="59"/>
      <c r="C264" s="241"/>
      <c r="D264" s="207"/>
      <c r="E264" s="60"/>
      <c r="F264" s="207"/>
      <c r="G264" s="61"/>
      <c r="H264" s="162"/>
      <c r="K264" s="20"/>
    </row>
    <row r="265" spans="1:11" ht="24" collapsed="1" thickBot="1" x14ac:dyDescent="0.4">
      <c r="A265" s="278" t="s">
        <v>73</v>
      </c>
      <c r="B265" s="277"/>
      <c r="C265" s="151">
        <f>SUM(C266:C295)/30</f>
        <v>80.344633333333334</v>
      </c>
      <c r="D265" s="157">
        <f>SUM(D266:D295)/20</f>
        <v>10798.275</v>
      </c>
      <c r="E265" s="155">
        <f>SUM(E266:E295)/20</f>
        <v>868897.61840250029</v>
      </c>
      <c r="F265" s="157">
        <f>SUM(F266:F295)/20</f>
        <v>2822.9250000000002</v>
      </c>
      <c r="G265" s="158">
        <f>SUM(G266:G295)/20</f>
        <v>227179.10017749993</v>
      </c>
      <c r="H265" s="162"/>
      <c r="I265" s="25">
        <f>((D265-100)*C265*1.2+100000)/1000</f>
        <v>1131.4587786089999</v>
      </c>
      <c r="J265" s="25">
        <f>(F265*C265*1.2+100000)/1000</f>
        <v>372.16824886300003</v>
      </c>
      <c r="K265" s="20">
        <v>370</v>
      </c>
    </row>
    <row r="266" spans="1:11" hidden="1" outlineLevel="1" x14ac:dyDescent="0.25">
      <c r="A266" s="148"/>
      <c r="B266" s="152">
        <v>45962</v>
      </c>
      <c r="C266" s="159">
        <v>80.795599999999993</v>
      </c>
      <c r="D266" s="69"/>
      <c r="E266" s="200"/>
      <c r="F266" s="78"/>
      <c r="G266" s="200"/>
    </row>
    <row r="267" spans="1:11" hidden="1" outlineLevel="1" x14ac:dyDescent="0.25">
      <c r="A267" s="149"/>
      <c r="B267" s="153">
        <v>45963</v>
      </c>
      <c r="C267" s="160">
        <v>80.886099999999999</v>
      </c>
      <c r="D267" s="66"/>
      <c r="E267" s="68"/>
      <c r="F267" s="57"/>
      <c r="G267" s="68"/>
    </row>
    <row r="268" spans="1:11" hidden="1" outlineLevel="1" x14ac:dyDescent="0.25">
      <c r="A268" s="149">
        <v>1</v>
      </c>
      <c r="B268" s="153">
        <v>45964</v>
      </c>
      <c r="C268" s="160">
        <v>80.886099999999999</v>
      </c>
      <c r="D268" s="66">
        <v>10872.5</v>
      </c>
      <c r="E268" s="68">
        <f>C268*D268</f>
        <v>879434.12225000001</v>
      </c>
      <c r="F268" s="57">
        <v>2903</v>
      </c>
      <c r="G268" s="68">
        <f>F268*C268</f>
        <v>234812.34829999998</v>
      </c>
    </row>
    <row r="269" spans="1:11" hidden="1" outlineLevel="1" x14ac:dyDescent="0.25">
      <c r="A269" s="149">
        <v>2</v>
      </c>
      <c r="B269" s="153">
        <v>45965</v>
      </c>
      <c r="C269" s="160">
        <v>80.886099999999999</v>
      </c>
      <c r="D269" s="66">
        <v>10600.5</v>
      </c>
      <c r="E269" s="68">
        <f t="shared" ref="E269:E293" si="41">C269*D269</f>
        <v>857433.10305000003</v>
      </c>
      <c r="F269" s="57">
        <v>2853</v>
      </c>
      <c r="G269" s="68">
        <f t="shared" ref="G269:G293" si="42">F269*C269</f>
        <v>230768.04329999999</v>
      </c>
    </row>
    <row r="270" spans="1:11" hidden="1" outlineLevel="1" x14ac:dyDescent="0.25">
      <c r="A270" s="149">
        <v>3</v>
      </c>
      <c r="B270" s="153">
        <v>45966</v>
      </c>
      <c r="C270" s="160">
        <v>80.886099999999999</v>
      </c>
      <c r="D270" s="66">
        <v>10603</v>
      </c>
      <c r="E270" s="68">
        <f t="shared" si="41"/>
        <v>857635.31830000004</v>
      </c>
      <c r="F270" s="57">
        <v>2838.5</v>
      </c>
      <c r="G270" s="68">
        <f t="shared" si="42"/>
        <v>229595.19485</v>
      </c>
    </row>
    <row r="271" spans="1:11" hidden="1" outlineLevel="1" x14ac:dyDescent="0.25">
      <c r="A271" s="149">
        <v>4</v>
      </c>
      <c r="B271" s="153">
        <v>45967</v>
      </c>
      <c r="C271" s="160">
        <v>81.188500000000005</v>
      </c>
      <c r="D271" s="66">
        <v>10723</v>
      </c>
      <c r="E271" s="68">
        <f t="shared" si="41"/>
        <v>870584.2855</v>
      </c>
      <c r="F271" s="57">
        <v>2861.5</v>
      </c>
      <c r="G271" s="68">
        <f t="shared" si="42"/>
        <v>232320.89275000003</v>
      </c>
    </row>
    <row r="272" spans="1:11" hidden="1" outlineLevel="1" x14ac:dyDescent="0.25">
      <c r="A272" s="149">
        <v>5</v>
      </c>
      <c r="B272" s="153">
        <v>45968</v>
      </c>
      <c r="C272" s="160">
        <v>81.376499999999993</v>
      </c>
      <c r="D272" s="66">
        <v>10720</v>
      </c>
      <c r="E272" s="68">
        <f t="shared" si="41"/>
        <v>872356.08</v>
      </c>
      <c r="F272" s="57">
        <v>2841</v>
      </c>
      <c r="G272" s="68">
        <f t="shared" si="42"/>
        <v>231190.63649999999</v>
      </c>
    </row>
    <row r="273" spans="1:7" hidden="1" outlineLevel="1" x14ac:dyDescent="0.25">
      <c r="A273" s="149"/>
      <c r="B273" s="153">
        <v>45969</v>
      </c>
      <c r="C273" s="160">
        <v>81.225700000000003</v>
      </c>
      <c r="D273" s="66"/>
      <c r="E273" s="68"/>
      <c r="F273" s="57"/>
      <c r="G273" s="68"/>
    </row>
    <row r="274" spans="1:7" hidden="1" outlineLevel="1" x14ac:dyDescent="0.25">
      <c r="A274" s="149"/>
      <c r="B274" s="153">
        <v>45970</v>
      </c>
      <c r="C274" s="160">
        <v>81.225700000000003</v>
      </c>
      <c r="D274" s="66"/>
      <c r="E274" s="68"/>
      <c r="F274" s="57"/>
      <c r="G274" s="68"/>
    </row>
    <row r="275" spans="1:7" hidden="1" outlineLevel="1" x14ac:dyDescent="0.25">
      <c r="A275" s="149">
        <v>6</v>
      </c>
      <c r="B275" s="153">
        <v>45971</v>
      </c>
      <c r="C275" s="160">
        <v>81.225700000000003</v>
      </c>
      <c r="D275" s="66">
        <v>10800</v>
      </c>
      <c r="E275" s="68">
        <f t="shared" si="41"/>
        <v>877237.56</v>
      </c>
      <c r="F275" s="57">
        <v>2867.5</v>
      </c>
      <c r="G275" s="68">
        <f t="shared" si="42"/>
        <v>232914.69475</v>
      </c>
    </row>
    <row r="276" spans="1:7" hidden="1" outlineLevel="1" x14ac:dyDescent="0.25">
      <c r="A276" s="149">
        <v>7</v>
      </c>
      <c r="B276" s="153">
        <v>45972</v>
      </c>
      <c r="C276" s="160">
        <v>81.013199999999998</v>
      </c>
      <c r="D276" s="66">
        <v>10777</v>
      </c>
      <c r="E276" s="68">
        <f t="shared" si="41"/>
        <v>873079.25639999995</v>
      </c>
      <c r="F276" s="57">
        <v>2841</v>
      </c>
      <c r="G276" s="68">
        <f t="shared" si="42"/>
        <v>230158.5012</v>
      </c>
    </row>
    <row r="277" spans="1:7" hidden="1" outlineLevel="1" x14ac:dyDescent="0.25">
      <c r="A277" s="149">
        <v>8</v>
      </c>
      <c r="B277" s="153">
        <v>45973</v>
      </c>
      <c r="C277" s="160">
        <v>81.356200000000001</v>
      </c>
      <c r="D277" s="66">
        <v>10833</v>
      </c>
      <c r="E277" s="68">
        <f t="shared" si="41"/>
        <v>881331.71460000006</v>
      </c>
      <c r="F277" s="57">
        <v>2856</v>
      </c>
      <c r="G277" s="68">
        <f t="shared" si="42"/>
        <v>232353.30720000001</v>
      </c>
    </row>
    <row r="278" spans="1:7" hidden="1" outlineLevel="1" x14ac:dyDescent="0.25">
      <c r="A278" s="149">
        <v>9</v>
      </c>
      <c r="B278" s="153">
        <v>45974</v>
      </c>
      <c r="C278" s="160">
        <v>81.285200000000003</v>
      </c>
      <c r="D278" s="66">
        <v>10942</v>
      </c>
      <c r="E278" s="68">
        <f t="shared" si="41"/>
        <v>889422.65840000007</v>
      </c>
      <c r="F278" s="57">
        <v>2876</v>
      </c>
      <c r="G278" s="68">
        <f t="shared" si="42"/>
        <v>233776.2352</v>
      </c>
    </row>
    <row r="279" spans="1:7" hidden="1" outlineLevel="1" x14ac:dyDescent="0.25">
      <c r="A279" s="149">
        <v>10</v>
      </c>
      <c r="B279" s="153">
        <v>45975</v>
      </c>
      <c r="C279" s="160">
        <v>80.600999999999999</v>
      </c>
      <c r="D279" s="66">
        <v>10851</v>
      </c>
      <c r="E279" s="68">
        <f t="shared" si="41"/>
        <v>874601.451</v>
      </c>
      <c r="F279" s="57">
        <v>2832.5</v>
      </c>
      <c r="G279" s="68">
        <f t="shared" si="42"/>
        <v>228302.33249999999</v>
      </c>
    </row>
    <row r="280" spans="1:7" hidden="1" outlineLevel="1" x14ac:dyDescent="0.25">
      <c r="A280" s="149"/>
      <c r="B280" s="153">
        <v>45976</v>
      </c>
      <c r="C280" s="160">
        <v>81.127600000000001</v>
      </c>
      <c r="D280" s="66"/>
      <c r="E280" s="68"/>
      <c r="F280" s="57"/>
      <c r="G280" s="68"/>
    </row>
    <row r="281" spans="1:7" hidden="1" outlineLevel="1" x14ac:dyDescent="0.25">
      <c r="A281" s="149"/>
      <c r="B281" s="153">
        <v>45977</v>
      </c>
      <c r="C281" s="160">
        <v>81.127600000000001</v>
      </c>
      <c r="D281" s="66"/>
      <c r="E281" s="68"/>
      <c r="F281" s="57"/>
      <c r="G281" s="68"/>
    </row>
    <row r="282" spans="1:7" hidden="1" outlineLevel="1" x14ac:dyDescent="0.25">
      <c r="A282" s="149">
        <v>11</v>
      </c>
      <c r="B282" s="153">
        <v>45978</v>
      </c>
      <c r="C282" s="160">
        <v>81.127600000000001</v>
      </c>
      <c r="D282" s="66">
        <v>10799</v>
      </c>
      <c r="E282" s="68">
        <f t="shared" si="41"/>
        <v>876096.95240000007</v>
      </c>
      <c r="F282" s="57">
        <v>2798</v>
      </c>
      <c r="G282" s="68">
        <f t="shared" si="42"/>
        <v>226995.02480000001</v>
      </c>
    </row>
    <row r="283" spans="1:7" hidden="1" outlineLevel="1" x14ac:dyDescent="0.25">
      <c r="A283" s="149">
        <v>12</v>
      </c>
      <c r="B283" s="153">
        <v>45979</v>
      </c>
      <c r="C283" s="160">
        <v>81.130200000000002</v>
      </c>
      <c r="D283" s="66">
        <v>10649</v>
      </c>
      <c r="E283" s="68">
        <f t="shared" si="41"/>
        <v>863955.49979999999</v>
      </c>
      <c r="F283" s="57">
        <v>2749.5</v>
      </c>
      <c r="G283" s="68">
        <f t="shared" si="42"/>
        <v>223067.48490000001</v>
      </c>
    </row>
    <row r="284" spans="1:7" hidden="1" outlineLevel="1" x14ac:dyDescent="0.25">
      <c r="A284" s="149">
        <v>13</v>
      </c>
      <c r="B284" s="153">
        <v>45980</v>
      </c>
      <c r="C284" s="160">
        <v>81.054699999999997</v>
      </c>
      <c r="D284" s="66">
        <v>10784</v>
      </c>
      <c r="E284" s="68">
        <f t="shared" si="41"/>
        <v>874093.8848</v>
      </c>
      <c r="F284" s="57">
        <v>2781</v>
      </c>
      <c r="G284" s="68">
        <f t="shared" si="42"/>
        <v>225413.1207</v>
      </c>
    </row>
    <row r="285" spans="1:7" hidden="1" outlineLevel="1" x14ac:dyDescent="0.25">
      <c r="A285" s="149">
        <v>14</v>
      </c>
      <c r="B285" s="153">
        <v>45981</v>
      </c>
      <c r="C285" s="160">
        <v>80.944800000000001</v>
      </c>
      <c r="D285" s="66">
        <v>10789</v>
      </c>
      <c r="E285" s="68">
        <f t="shared" si="41"/>
        <v>873313.44720000005</v>
      </c>
      <c r="F285" s="57">
        <v>2778.5</v>
      </c>
      <c r="G285" s="68">
        <f t="shared" si="42"/>
        <v>224905.1268</v>
      </c>
    </row>
    <row r="286" spans="1:7" hidden="1" outlineLevel="1" x14ac:dyDescent="0.25">
      <c r="A286" s="149">
        <v>15</v>
      </c>
      <c r="B286" s="153">
        <v>45982</v>
      </c>
      <c r="C286" s="160">
        <v>80.732100000000003</v>
      </c>
      <c r="D286" s="66">
        <v>10685.5</v>
      </c>
      <c r="E286" s="68">
        <f t="shared" si="41"/>
        <v>862662.85455000005</v>
      </c>
      <c r="F286" s="57">
        <v>2765.5</v>
      </c>
      <c r="G286" s="68">
        <f t="shared" si="42"/>
        <v>223264.62255</v>
      </c>
    </row>
    <row r="287" spans="1:7" hidden="1" outlineLevel="1" x14ac:dyDescent="0.25">
      <c r="A287" s="149"/>
      <c r="B287" s="153">
        <v>45983</v>
      </c>
      <c r="C287" s="160">
        <v>79.024600000000007</v>
      </c>
      <c r="D287" s="66"/>
      <c r="E287" s="68"/>
      <c r="F287" s="57"/>
      <c r="G287" s="68"/>
    </row>
    <row r="288" spans="1:7" hidden="1" outlineLevel="1" x14ac:dyDescent="0.25">
      <c r="A288" s="149"/>
      <c r="B288" s="153">
        <v>45984</v>
      </c>
      <c r="C288" s="160">
        <v>79.024600000000007</v>
      </c>
      <c r="D288" s="66"/>
      <c r="E288" s="68"/>
      <c r="F288" s="57"/>
      <c r="G288" s="68"/>
    </row>
    <row r="289" spans="1:11" hidden="1" outlineLevel="1" x14ac:dyDescent="0.25">
      <c r="A289" s="149">
        <v>16</v>
      </c>
      <c r="B289" s="153">
        <v>45985</v>
      </c>
      <c r="C289" s="160">
        <v>79.024600000000007</v>
      </c>
      <c r="D289" s="66">
        <v>10795</v>
      </c>
      <c r="E289" s="68">
        <f t="shared" si="41"/>
        <v>853070.55700000003</v>
      </c>
      <c r="F289" s="57">
        <v>2776.5</v>
      </c>
      <c r="G289" s="68">
        <f t="shared" si="42"/>
        <v>219411.80190000002</v>
      </c>
    </row>
    <row r="290" spans="1:11" hidden="1" outlineLevel="1" x14ac:dyDescent="0.25">
      <c r="A290" s="149">
        <v>17</v>
      </c>
      <c r="B290" s="153">
        <v>45986</v>
      </c>
      <c r="C290" s="160">
        <v>78.920199999999994</v>
      </c>
      <c r="D290" s="66">
        <v>10826</v>
      </c>
      <c r="E290" s="68">
        <f t="shared" si="41"/>
        <v>854390.08519999997</v>
      </c>
      <c r="F290" s="57">
        <v>2787</v>
      </c>
      <c r="G290" s="68">
        <f t="shared" si="42"/>
        <v>219950.59739999997</v>
      </c>
    </row>
    <row r="291" spans="1:11" hidden="1" outlineLevel="1" x14ac:dyDescent="0.25">
      <c r="A291" s="149">
        <v>18</v>
      </c>
      <c r="B291" s="153">
        <v>45987</v>
      </c>
      <c r="C291" s="160">
        <v>78.961500000000001</v>
      </c>
      <c r="D291" s="66">
        <v>10978</v>
      </c>
      <c r="E291" s="68">
        <f t="shared" si="41"/>
        <v>866839.34700000007</v>
      </c>
      <c r="F291" s="57">
        <v>2822.5</v>
      </c>
      <c r="G291" s="68">
        <f t="shared" si="42"/>
        <v>222868.83374999999</v>
      </c>
    </row>
    <row r="292" spans="1:11" hidden="1" outlineLevel="1" x14ac:dyDescent="0.25">
      <c r="A292" s="149">
        <v>19</v>
      </c>
      <c r="B292" s="153">
        <v>45988</v>
      </c>
      <c r="C292" s="160">
        <v>78.594099999999997</v>
      </c>
      <c r="D292" s="66">
        <v>10934</v>
      </c>
      <c r="E292" s="68">
        <f t="shared" si="41"/>
        <v>859347.88939999999</v>
      </c>
      <c r="F292" s="57">
        <v>2804</v>
      </c>
      <c r="G292" s="68">
        <f t="shared" si="42"/>
        <v>220377.85639999999</v>
      </c>
    </row>
    <row r="293" spans="1:11" hidden="1" outlineLevel="1" x14ac:dyDescent="0.25">
      <c r="A293" s="149">
        <v>20</v>
      </c>
      <c r="B293" s="153">
        <v>45989</v>
      </c>
      <c r="C293" s="160">
        <v>78.250299999999996</v>
      </c>
      <c r="D293" s="66">
        <v>11004</v>
      </c>
      <c r="E293" s="68">
        <f t="shared" si="41"/>
        <v>861066.30119999999</v>
      </c>
      <c r="F293" s="57">
        <v>2826</v>
      </c>
      <c r="G293" s="68">
        <f t="shared" si="42"/>
        <v>221135.34779999999</v>
      </c>
    </row>
    <row r="294" spans="1:11" hidden="1" outlineLevel="1" x14ac:dyDescent="0.25">
      <c r="A294" s="149"/>
      <c r="B294" s="153">
        <v>45990</v>
      </c>
      <c r="C294" s="160">
        <v>78.228399999999993</v>
      </c>
      <c r="D294" s="66"/>
      <c r="E294" s="68"/>
      <c r="F294" s="57"/>
      <c r="G294" s="68"/>
    </row>
    <row r="295" spans="1:11" ht="16.5" hidden="1" outlineLevel="1" thickBot="1" x14ac:dyDescent="0.3">
      <c r="A295" s="150"/>
      <c r="B295" s="154">
        <v>45991</v>
      </c>
      <c r="C295" s="161">
        <v>78.228399999999993</v>
      </c>
      <c r="D295" s="70"/>
      <c r="E295" s="201"/>
      <c r="F295" s="79"/>
      <c r="G295" s="201"/>
    </row>
    <row r="296" spans="1:11" ht="16.5" hidden="1" outlineLevel="1" thickBot="1" x14ac:dyDescent="0.3">
      <c r="A296" s="34"/>
      <c r="B296" s="167"/>
      <c r="C296" s="168"/>
      <c r="D296" s="203"/>
      <c r="E296" s="36"/>
      <c r="F296" s="203"/>
      <c r="G296" s="37"/>
    </row>
    <row r="297" spans="1:11" ht="24" collapsed="1" thickBot="1" x14ac:dyDescent="0.4">
      <c r="A297" s="276" t="s">
        <v>74</v>
      </c>
      <c r="B297" s="277"/>
      <c r="C297" s="146">
        <f>SUM(C298:C328)/31</f>
        <v>78.436751612903237</v>
      </c>
      <c r="D297" s="157">
        <f>SUM(D298:D328)/21</f>
        <v>11803.785714285714</v>
      </c>
      <c r="E297" s="147">
        <f>SUM(E298:E328)/21</f>
        <v>925660.86644761881</v>
      </c>
      <c r="F297" s="157">
        <f>SUM(F298:F328)/21</f>
        <v>2875.4523809523807</v>
      </c>
      <c r="G297" s="166">
        <f>SUM(G298:G328)/21</f>
        <v>225483.90578809517</v>
      </c>
      <c r="H297" s="162"/>
      <c r="I297" s="25">
        <f>((D297-100)*C297*1.2+100000)/1000</f>
        <v>1201.6083196024886</v>
      </c>
      <c r="J297" s="25">
        <f>(F297*C297*1.2+100000)/1000</f>
        <v>370.64937301539169</v>
      </c>
      <c r="K297" s="20">
        <v>370</v>
      </c>
    </row>
    <row r="298" spans="1:11" hidden="1" outlineLevel="2" x14ac:dyDescent="0.25">
      <c r="A298" s="163">
        <v>1</v>
      </c>
      <c r="B298" s="164">
        <v>45992</v>
      </c>
      <c r="C298" s="165">
        <v>78.228399999999993</v>
      </c>
      <c r="D298" s="65">
        <v>11299</v>
      </c>
      <c r="E298" s="62">
        <f t="shared" ref="E298:E299" si="43">C298*D298</f>
        <v>883902.6915999999</v>
      </c>
      <c r="F298" s="77">
        <v>2860</v>
      </c>
      <c r="G298" s="209">
        <f t="shared" ref="G298:G299" si="44">F298*C298</f>
        <v>223733.22399999999</v>
      </c>
    </row>
    <row r="299" spans="1:11" hidden="1" outlineLevel="2" x14ac:dyDescent="0.25">
      <c r="A299" s="149">
        <v>2</v>
      </c>
      <c r="B299" s="153">
        <v>45993</v>
      </c>
      <c r="C299" s="160">
        <v>77.702699999999993</v>
      </c>
      <c r="D299" s="66">
        <v>11285</v>
      </c>
      <c r="E299" s="67">
        <f t="shared" si="43"/>
        <v>876874.96949999989</v>
      </c>
      <c r="F299" s="57">
        <v>2858.5</v>
      </c>
      <c r="G299" s="68">
        <f t="shared" si="44"/>
        <v>222113.16794999997</v>
      </c>
    </row>
    <row r="300" spans="1:11" hidden="1" outlineLevel="2" x14ac:dyDescent="0.25">
      <c r="A300" s="149">
        <v>3</v>
      </c>
      <c r="B300" s="153">
        <v>45994</v>
      </c>
      <c r="C300" s="160">
        <v>77.463099999999997</v>
      </c>
      <c r="D300" s="66">
        <v>11437</v>
      </c>
      <c r="E300" s="67">
        <f>C300*D300</f>
        <v>885945.47470000002</v>
      </c>
      <c r="F300" s="57">
        <v>2854</v>
      </c>
      <c r="G300" s="68">
        <f>F300*C300</f>
        <v>221079.6874</v>
      </c>
    </row>
    <row r="301" spans="1:11" hidden="1" outlineLevel="2" x14ac:dyDescent="0.25">
      <c r="A301" s="149">
        <v>4</v>
      </c>
      <c r="B301" s="153">
        <v>45995</v>
      </c>
      <c r="C301" s="160">
        <v>77.955600000000004</v>
      </c>
      <c r="D301" s="66">
        <v>11472</v>
      </c>
      <c r="E301" s="67">
        <f t="shared" ref="E301:E305" si="45">C301*D301</f>
        <v>894306.64320000005</v>
      </c>
      <c r="F301" s="57">
        <v>2854</v>
      </c>
      <c r="G301" s="68">
        <f t="shared" ref="G301:G305" si="46">F301*C301</f>
        <v>222485.28240000003</v>
      </c>
    </row>
    <row r="302" spans="1:11" hidden="1" outlineLevel="2" x14ac:dyDescent="0.25">
      <c r="A302" s="149">
        <v>5</v>
      </c>
      <c r="B302" s="153">
        <v>45996</v>
      </c>
      <c r="C302" s="160">
        <v>76.970799999999997</v>
      </c>
      <c r="D302" s="66">
        <v>11645</v>
      </c>
      <c r="E302" s="67">
        <f t="shared" si="45"/>
        <v>896324.96600000001</v>
      </c>
      <c r="F302" s="57">
        <v>2865</v>
      </c>
      <c r="G302" s="68">
        <f t="shared" si="46"/>
        <v>220521.342</v>
      </c>
    </row>
    <row r="303" spans="1:11" hidden="1" outlineLevel="2" x14ac:dyDescent="0.25">
      <c r="A303" s="149"/>
      <c r="B303" s="153">
        <v>45997</v>
      </c>
      <c r="C303" s="160">
        <v>76.093699999999998</v>
      </c>
      <c r="D303" s="66"/>
      <c r="E303" s="67"/>
      <c r="F303" s="57"/>
      <c r="G303" s="68"/>
    </row>
    <row r="304" spans="1:11" hidden="1" outlineLevel="2" x14ac:dyDescent="0.25">
      <c r="A304" s="149"/>
      <c r="B304" s="153">
        <v>45998</v>
      </c>
      <c r="C304" s="160">
        <v>76.093699999999998</v>
      </c>
      <c r="D304" s="66"/>
      <c r="E304" s="67"/>
      <c r="F304" s="57"/>
      <c r="G304" s="68"/>
    </row>
    <row r="305" spans="1:7" hidden="1" outlineLevel="2" x14ac:dyDescent="0.25">
      <c r="A305" s="149">
        <v>6</v>
      </c>
      <c r="B305" s="153">
        <v>45999</v>
      </c>
      <c r="C305" s="160">
        <v>76.093699999999998</v>
      </c>
      <c r="D305" s="66">
        <v>11695</v>
      </c>
      <c r="E305" s="67">
        <f t="shared" si="45"/>
        <v>889915.82149999996</v>
      </c>
      <c r="F305" s="57">
        <v>2867.5</v>
      </c>
      <c r="G305" s="68">
        <f t="shared" si="46"/>
        <v>218198.68474999999</v>
      </c>
    </row>
    <row r="306" spans="1:7" hidden="1" outlineLevel="2" x14ac:dyDescent="0.25">
      <c r="A306" s="149">
        <v>7</v>
      </c>
      <c r="B306" s="153">
        <v>46000</v>
      </c>
      <c r="C306" s="160">
        <v>77.273300000000006</v>
      </c>
      <c r="D306" s="66">
        <v>11563.5</v>
      </c>
      <c r="E306" s="67">
        <f t="shared" ref="E306:E314" si="47">C306*D306</f>
        <v>893549.80455000012</v>
      </c>
      <c r="F306" s="57">
        <v>2832</v>
      </c>
      <c r="G306" s="68">
        <f t="shared" ref="G306:G314" si="48">F306*C306</f>
        <v>218837.98560000001</v>
      </c>
    </row>
    <row r="307" spans="1:7" hidden="1" outlineLevel="2" x14ac:dyDescent="0.25">
      <c r="A307" s="149">
        <v>8</v>
      </c>
      <c r="B307" s="153">
        <v>46001</v>
      </c>
      <c r="C307" s="160">
        <v>76.808400000000006</v>
      </c>
      <c r="D307" s="66">
        <v>11645</v>
      </c>
      <c r="E307" s="67">
        <f t="shared" si="47"/>
        <v>894433.81800000009</v>
      </c>
      <c r="F307" s="57">
        <v>2836.5</v>
      </c>
      <c r="G307" s="68">
        <f t="shared" si="48"/>
        <v>217867.02660000001</v>
      </c>
    </row>
    <row r="308" spans="1:7" hidden="1" outlineLevel="2" x14ac:dyDescent="0.25">
      <c r="A308" s="149">
        <v>9</v>
      </c>
      <c r="B308" s="153">
        <v>46002</v>
      </c>
      <c r="C308" s="160">
        <v>77.899799999999999</v>
      </c>
      <c r="D308" s="66">
        <v>11740</v>
      </c>
      <c r="E308" s="67">
        <f t="shared" si="47"/>
        <v>914543.652</v>
      </c>
      <c r="F308" s="57">
        <v>2864</v>
      </c>
      <c r="G308" s="68">
        <f t="shared" si="48"/>
        <v>223105.02720000001</v>
      </c>
    </row>
    <row r="309" spans="1:7" hidden="1" outlineLevel="2" x14ac:dyDescent="0.25">
      <c r="A309" s="149">
        <v>10</v>
      </c>
      <c r="B309" s="153">
        <v>46003</v>
      </c>
      <c r="C309" s="160">
        <v>79.339799999999997</v>
      </c>
      <c r="D309" s="66">
        <v>11816</v>
      </c>
      <c r="E309" s="67">
        <f t="shared" si="47"/>
        <v>937479.07679999992</v>
      </c>
      <c r="F309" s="57">
        <v>2845.5</v>
      </c>
      <c r="G309" s="68">
        <f t="shared" si="48"/>
        <v>225761.40089999998</v>
      </c>
    </row>
    <row r="310" spans="1:7" hidden="1" outlineLevel="2" x14ac:dyDescent="0.25">
      <c r="A310" s="149"/>
      <c r="B310" s="153">
        <v>46004</v>
      </c>
      <c r="C310" s="160">
        <v>79.729600000000005</v>
      </c>
      <c r="D310" s="66"/>
      <c r="E310" s="67"/>
      <c r="F310" s="57"/>
      <c r="G310" s="68"/>
    </row>
    <row r="311" spans="1:7" hidden="1" outlineLevel="2" x14ac:dyDescent="0.25">
      <c r="A311" s="149"/>
      <c r="B311" s="153">
        <v>46005</v>
      </c>
      <c r="C311" s="160">
        <v>79.729600000000005</v>
      </c>
      <c r="D311" s="66"/>
      <c r="E311" s="67"/>
      <c r="F311" s="57"/>
      <c r="G311" s="68"/>
    </row>
    <row r="312" spans="1:7" hidden="1" outlineLevel="2" x14ac:dyDescent="0.25">
      <c r="A312" s="149">
        <v>11</v>
      </c>
      <c r="B312" s="153">
        <v>46006</v>
      </c>
      <c r="C312" s="160">
        <v>79.729600000000005</v>
      </c>
      <c r="D312" s="66">
        <v>11774.5</v>
      </c>
      <c r="E312" s="67">
        <f t="shared" si="47"/>
        <v>938776.17520000006</v>
      </c>
      <c r="F312" s="57">
        <v>2841</v>
      </c>
      <c r="G312" s="68">
        <f t="shared" si="48"/>
        <v>226511.7936</v>
      </c>
    </row>
    <row r="313" spans="1:7" hidden="1" outlineLevel="2" x14ac:dyDescent="0.25">
      <c r="A313" s="149">
        <v>12</v>
      </c>
      <c r="B313" s="153">
        <v>46007</v>
      </c>
      <c r="C313" s="160">
        <v>79.4495</v>
      </c>
      <c r="D313" s="66">
        <v>11636</v>
      </c>
      <c r="E313" s="67">
        <f t="shared" si="47"/>
        <v>924474.38199999998</v>
      </c>
      <c r="F313" s="57">
        <v>2833.5</v>
      </c>
      <c r="G313" s="68">
        <f t="shared" si="48"/>
        <v>225120.15825000001</v>
      </c>
    </row>
    <row r="314" spans="1:7" hidden="1" outlineLevel="2" x14ac:dyDescent="0.25">
      <c r="A314" s="149">
        <v>13</v>
      </c>
      <c r="B314" s="153">
        <v>46008</v>
      </c>
      <c r="C314" s="160">
        <v>79.430199999999999</v>
      </c>
      <c r="D314" s="66">
        <v>11720</v>
      </c>
      <c r="E314" s="67">
        <f t="shared" si="47"/>
        <v>930921.94400000002</v>
      </c>
      <c r="F314" s="57">
        <v>2851.5</v>
      </c>
      <c r="G314" s="68">
        <f t="shared" si="48"/>
        <v>226495.21530000001</v>
      </c>
    </row>
    <row r="315" spans="1:7" hidden="1" outlineLevel="2" x14ac:dyDescent="0.25">
      <c r="A315" s="149">
        <v>14</v>
      </c>
      <c r="B315" s="153">
        <v>46009</v>
      </c>
      <c r="C315" s="160">
        <v>80.380700000000004</v>
      </c>
      <c r="D315" s="66">
        <v>11721.5</v>
      </c>
      <c r="E315" s="67">
        <f t="shared" ref="E315" si="49">C315*D315</f>
        <v>942182.37505000003</v>
      </c>
      <c r="F315" s="57">
        <v>2852.5</v>
      </c>
      <c r="G315" s="68">
        <f t="shared" ref="G315" si="50">F315*C315</f>
        <v>229285.94675</v>
      </c>
    </row>
    <row r="316" spans="1:7" hidden="1" outlineLevel="2" x14ac:dyDescent="0.25">
      <c r="A316" s="149">
        <v>15</v>
      </c>
      <c r="B316" s="153">
        <v>46010</v>
      </c>
      <c r="C316" s="160">
        <v>80.030100000000004</v>
      </c>
      <c r="D316" s="66">
        <v>11845</v>
      </c>
      <c r="E316" s="67">
        <f t="shared" ref="E316:E328" si="51">C316*D316</f>
        <v>947956.53450000007</v>
      </c>
      <c r="F316" s="57">
        <v>2896</v>
      </c>
      <c r="G316" s="68">
        <f t="shared" ref="G316:G328" si="52">F316*C316</f>
        <v>231767.16960000002</v>
      </c>
    </row>
    <row r="317" spans="1:7" hidden="1" outlineLevel="2" x14ac:dyDescent="0.25">
      <c r="A317" s="149"/>
      <c r="B317" s="153">
        <v>46011</v>
      </c>
      <c r="C317" s="160">
        <v>80.721999999999994</v>
      </c>
      <c r="D317" s="66"/>
      <c r="E317" s="67"/>
      <c r="F317" s="57"/>
      <c r="G317" s="68"/>
    </row>
    <row r="318" spans="1:7" hidden="1" outlineLevel="2" x14ac:dyDescent="0.25">
      <c r="A318" s="149"/>
      <c r="B318" s="153">
        <v>46012</v>
      </c>
      <c r="C318" s="160">
        <v>80.721999999999994</v>
      </c>
      <c r="D318" s="66"/>
      <c r="E318" s="67"/>
      <c r="F318" s="57"/>
      <c r="G318" s="68"/>
    </row>
    <row r="319" spans="1:7" hidden="1" outlineLevel="2" x14ac:dyDescent="0.25">
      <c r="A319" s="149">
        <v>16</v>
      </c>
      <c r="B319" s="153">
        <v>46013</v>
      </c>
      <c r="C319" s="160">
        <v>80.721999999999994</v>
      </c>
      <c r="D319" s="66">
        <v>11940</v>
      </c>
      <c r="E319" s="67">
        <f t="shared" si="51"/>
        <v>963820.67999999993</v>
      </c>
      <c r="F319" s="57">
        <v>2898.5</v>
      </c>
      <c r="G319" s="68">
        <f t="shared" si="52"/>
        <v>233972.71699999998</v>
      </c>
    </row>
    <row r="320" spans="1:7" hidden="1" outlineLevel="2" x14ac:dyDescent="0.25">
      <c r="A320" s="149">
        <v>17</v>
      </c>
      <c r="B320" s="153">
        <v>46014</v>
      </c>
      <c r="C320" s="160">
        <v>79.314599999999999</v>
      </c>
      <c r="D320" s="66">
        <v>12070</v>
      </c>
      <c r="E320" s="67">
        <f t="shared" si="51"/>
        <v>957327.22199999995</v>
      </c>
      <c r="F320" s="57">
        <v>2916</v>
      </c>
      <c r="G320" s="68">
        <f t="shared" si="52"/>
        <v>231281.37359999999</v>
      </c>
    </row>
    <row r="321" spans="1:11" hidden="1" outlineLevel="2" x14ac:dyDescent="0.25">
      <c r="A321" s="149">
        <v>18</v>
      </c>
      <c r="B321" s="153">
        <v>46015</v>
      </c>
      <c r="C321" s="160">
        <v>78.584999999999994</v>
      </c>
      <c r="D321" s="66">
        <v>12253</v>
      </c>
      <c r="E321" s="67">
        <f t="shared" si="51"/>
        <v>962902.00499999989</v>
      </c>
      <c r="F321" s="57">
        <v>2932</v>
      </c>
      <c r="G321" s="68">
        <f t="shared" si="52"/>
        <v>230411.21999999997</v>
      </c>
    </row>
    <row r="322" spans="1:11" hidden="1" outlineLevel="2" x14ac:dyDescent="0.25">
      <c r="A322" s="149"/>
      <c r="B322" s="153">
        <v>46016</v>
      </c>
      <c r="C322" s="160">
        <v>78.436800000000005</v>
      </c>
      <c r="D322" s="66"/>
      <c r="E322" s="67"/>
      <c r="F322" s="57"/>
      <c r="G322" s="68"/>
    </row>
    <row r="323" spans="1:11" hidden="1" outlineLevel="2" x14ac:dyDescent="0.25">
      <c r="A323" s="149"/>
      <c r="B323" s="153">
        <v>46017</v>
      </c>
      <c r="C323" s="160">
        <v>77.884399999999999</v>
      </c>
      <c r="D323" s="66"/>
      <c r="E323" s="67"/>
      <c r="F323" s="57"/>
      <c r="G323" s="68"/>
    </row>
    <row r="324" spans="1:11" hidden="1" outlineLevel="2" x14ac:dyDescent="0.25">
      <c r="A324" s="149"/>
      <c r="B324" s="153">
        <v>46018</v>
      </c>
      <c r="C324" s="160">
        <v>77.692300000000003</v>
      </c>
      <c r="D324" s="66"/>
      <c r="E324" s="67"/>
      <c r="F324" s="57"/>
      <c r="G324" s="68"/>
    </row>
    <row r="325" spans="1:11" hidden="1" outlineLevel="2" x14ac:dyDescent="0.25">
      <c r="A325" s="149"/>
      <c r="B325" s="153">
        <v>46019</v>
      </c>
      <c r="C325" s="160">
        <v>77.692300000000003</v>
      </c>
      <c r="D325" s="66"/>
      <c r="E325" s="67"/>
      <c r="F325" s="57"/>
      <c r="G325" s="68"/>
    </row>
    <row r="326" spans="1:11" hidden="1" outlineLevel="2" x14ac:dyDescent="0.25">
      <c r="A326" s="149">
        <v>19</v>
      </c>
      <c r="B326" s="153">
        <v>46020</v>
      </c>
      <c r="C326" s="160">
        <v>77.692300000000003</v>
      </c>
      <c r="D326" s="66">
        <v>12306</v>
      </c>
      <c r="E326" s="67">
        <f t="shared" si="51"/>
        <v>956081.44380000001</v>
      </c>
      <c r="F326" s="57">
        <v>2913.5</v>
      </c>
      <c r="G326" s="68">
        <f t="shared" si="52"/>
        <v>226356.51605000001</v>
      </c>
    </row>
    <row r="327" spans="1:11" hidden="1" outlineLevel="2" x14ac:dyDescent="0.25">
      <c r="A327" s="149">
        <v>20</v>
      </c>
      <c r="B327" s="153">
        <v>46021</v>
      </c>
      <c r="C327" s="160">
        <v>77.446600000000004</v>
      </c>
      <c r="D327" s="66">
        <v>12512</v>
      </c>
      <c r="E327" s="67">
        <f t="shared" si="51"/>
        <v>969011.85920000006</v>
      </c>
      <c r="F327" s="57">
        <v>2945</v>
      </c>
      <c r="G327" s="68">
        <f t="shared" si="52"/>
        <v>228080.23700000002</v>
      </c>
    </row>
    <row r="328" spans="1:11" ht="16.5" hidden="1" outlineLevel="2" thickBot="1" x14ac:dyDescent="0.3">
      <c r="A328" s="150">
        <v>21</v>
      </c>
      <c r="B328" s="92">
        <v>46022</v>
      </c>
      <c r="C328" s="161">
        <v>78.226699999999994</v>
      </c>
      <c r="D328" s="70">
        <v>12504</v>
      </c>
      <c r="E328" s="156">
        <f t="shared" si="51"/>
        <v>978146.65679999988</v>
      </c>
      <c r="F328" s="79">
        <v>2968</v>
      </c>
      <c r="G328" s="201">
        <f t="shared" si="52"/>
        <v>232176.84559999997</v>
      </c>
    </row>
    <row r="329" spans="1:11" ht="16.5" hidden="1" outlineLevel="2" thickBot="1" x14ac:dyDescent="0.3">
      <c r="F329" s="204"/>
    </row>
    <row r="330" spans="1:11" ht="24" collapsed="1" thickBot="1" x14ac:dyDescent="0.4">
      <c r="A330" s="275">
        <v>46023</v>
      </c>
      <c r="B330" s="271"/>
      <c r="C330" s="81">
        <f>SUM(C331:C361)/31</f>
        <v>77.563245161290325</v>
      </c>
      <c r="D330" s="173">
        <f>SUM(D331:D361)/21</f>
        <v>13088.880952380952</v>
      </c>
      <c r="E330" s="32">
        <f>SUM(E331:E361)/21</f>
        <v>1015956.010995238</v>
      </c>
      <c r="F330" s="173">
        <f>SUM(F331:F361)/21</f>
        <v>3148.4047619047619</v>
      </c>
      <c r="G330" s="76">
        <f>SUM(G331:G361)/21</f>
        <v>244363.43679761904</v>
      </c>
      <c r="H330" s="174"/>
      <c r="I330" s="25">
        <f>((D330-100)*C330*1.22+150000)/1000</f>
        <v>1379.1009043700121</v>
      </c>
      <c r="J330" s="25">
        <f>(F330*C330*1.22+100000)/1000</f>
        <v>397.92459830580339</v>
      </c>
      <c r="K330" s="20">
        <v>370</v>
      </c>
    </row>
    <row r="331" spans="1:11" hidden="1" outlineLevel="1" x14ac:dyDescent="0.25">
      <c r="A331" s="175"/>
      <c r="B331" s="176">
        <v>46023</v>
      </c>
      <c r="C331" s="177">
        <v>78.226699999999994</v>
      </c>
      <c r="D331" s="178"/>
      <c r="E331" s="179">
        <f t="shared" ref="E331:E332" si="53">C331*D331</f>
        <v>0</v>
      </c>
      <c r="F331" s="180"/>
      <c r="G331" s="217">
        <f t="shared" ref="G331:G332" si="54">F331*C331</f>
        <v>0</v>
      </c>
      <c r="H331" s="174"/>
    </row>
    <row r="332" spans="1:11" hidden="1" outlineLevel="1" x14ac:dyDescent="0.25">
      <c r="A332" s="181">
        <v>1</v>
      </c>
      <c r="B332" s="182">
        <v>46024</v>
      </c>
      <c r="C332" s="177">
        <v>78.226699999999994</v>
      </c>
      <c r="D332" s="183">
        <v>12571</v>
      </c>
      <c r="E332" s="184">
        <f t="shared" si="53"/>
        <v>983387.84569999995</v>
      </c>
      <c r="F332" s="185">
        <v>2986</v>
      </c>
      <c r="G332" s="218">
        <f t="shared" si="54"/>
        <v>233584.92619999999</v>
      </c>
      <c r="H332" s="174"/>
    </row>
    <row r="333" spans="1:11" hidden="1" outlineLevel="1" x14ac:dyDescent="0.25">
      <c r="A333" s="181"/>
      <c r="B333" s="182">
        <v>46025</v>
      </c>
      <c r="C333" s="177">
        <v>78.226699999999994</v>
      </c>
      <c r="D333" s="183"/>
      <c r="E333" s="184"/>
      <c r="F333" s="185"/>
      <c r="G333" s="218"/>
      <c r="H333" s="174"/>
    </row>
    <row r="334" spans="1:11" hidden="1" outlineLevel="1" x14ac:dyDescent="0.25">
      <c r="A334" s="181"/>
      <c r="B334" s="182">
        <v>46026</v>
      </c>
      <c r="C334" s="177">
        <v>78.226699999999994</v>
      </c>
      <c r="D334" s="183"/>
      <c r="E334" s="184"/>
      <c r="F334" s="185"/>
      <c r="G334" s="218"/>
      <c r="H334" s="174"/>
    </row>
    <row r="335" spans="1:11" hidden="1" outlineLevel="1" x14ac:dyDescent="0.25">
      <c r="A335" s="181">
        <v>2</v>
      </c>
      <c r="B335" s="182">
        <v>46027</v>
      </c>
      <c r="C335" s="177">
        <v>78.226699999999994</v>
      </c>
      <c r="D335" s="183">
        <v>12884</v>
      </c>
      <c r="E335" s="184">
        <f t="shared" ref="E335:E353" si="55">C335*D335</f>
        <v>1007872.8027999999</v>
      </c>
      <c r="F335" s="185">
        <v>3022.5</v>
      </c>
      <c r="G335" s="218">
        <f t="shared" ref="G335:G353" si="56">F335*C335</f>
        <v>236440.20074999999</v>
      </c>
      <c r="H335" s="174"/>
    </row>
    <row r="336" spans="1:11" hidden="1" outlineLevel="1" x14ac:dyDescent="0.25">
      <c r="A336" s="181">
        <v>3</v>
      </c>
      <c r="B336" s="182">
        <v>46028</v>
      </c>
      <c r="C336" s="177">
        <v>78.226699999999994</v>
      </c>
      <c r="D336" s="183">
        <v>13269.5</v>
      </c>
      <c r="E336" s="184">
        <f t="shared" si="55"/>
        <v>1038029.1956499999</v>
      </c>
      <c r="F336" s="185">
        <v>3093</v>
      </c>
      <c r="G336" s="218">
        <f t="shared" si="56"/>
        <v>241955.18309999999</v>
      </c>
      <c r="H336" s="174"/>
    </row>
    <row r="337" spans="1:8" hidden="1" outlineLevel="1" x14ac:dyDescent="0.25">
      <c r="A337" s="181">
        <v>4</v>
      </c>
      <c r="B337" s="182">
        <v>46029</v>
      </c>
      <c r="C337" s="177">
        <v>78.226699999999994</v>
      </c>
      <c r="D337" s="183">
        <v>13145</v>
      </c>
      <c r="E337" s="184">
        <f t="shared" si="55"/>
        <v>1028289.9714999999</v>
      </c>
      <c r="F337" s="185">
        <v>3092</v>
      </c>
      <c r="G337" s="218">
        <f t="shared" si="56"/>
        <v>241876.9564</v>
      </c>
      <c r="H337" s="174"/>
    </row>
    <row r="338" spans="1:8" hidden="1" outlineLevel="1" x14ac:dyDescent="0.25">
      <c r="A338" s="181">
        <v>5</v>
      </c>
      <c r="B338" s="182">
        <v>46030</v>
      </c>
      <c r="C338" s="177">
        <v>78.226699999999994</v>
      </c>
      <c r="D338" s="183">
        <v>12885</v>
      </c>
      <c r="E338" s="184">
        <f t="shared" si="55"/>
        <v>1007951.0294999999</v>
      </c>
      <c r="F338" s="185">
        <v>3081</v>
      </c>
      <c r="G338" s="218">
        <f t="shared" si="56"/>
        <v>241016.46269999997</v>
      </c>
      <c r="H338" s="174"/>
    </row>
    <row r="339" spans="1:8" hidden="1" outlineLevel="1" x14ac:dyDescent="0.25">
      <c r="A339" s="181">
        <v>6</v>
      </c>
      <c r="B339" s="182">
        <v>46031</v>
      </c>
      <c r="C339" s="177">
        <v>78.226699999999994</v>
      </c>
      <c r="D339" s="183">
        <v>13060</v>
      </c>
      <c r="E339" s="184">
        <f t="shared" si="55"/>
        <v>1021640.7019999999</v>
      </c>
      <c r="F339" s="185">
        <v>3180</v>
      </c>
      <c r="G339" s="218">
        <f t="shared" si="56"/>
        <v>248760.90599999999</v>
      </c>
      <c r="H339" s="174"/>
    </row>
    <row r="340" spans="1:8" hidden="1" outlineLevel="1" x14ac:dyDescent="0.25">
      <c r="A340" s="181"/>
      <c r="B340" s="182">
        <v>46032</v>
      </c>
      <c r="C340" s="177">
        <v>78.226699999999994</v>
      </c>
      <c r="D340" s="183"/>
      <c r="E340" s="184"/>
      <c r="F340" s="185"/>
      <c r="G340" s="218"/>
      <c r="H340" s="174"/>
    </row>
    <row r="341" spans="1:8" hidden="1" outlineLevel="1" x14ac:dyDescent="0.25">
      <c r="A341" s="181"/>
      <c r="B341" s="182">
        <v>46033</v>
      </c>
      <c r="C341" s="177">
        <v>78.226699999999994</v>
      </c>
      <c r="D341" s="183"/>
      <c r="E341" s="184"/>
      <c r="F341" s="185"/>
      <c r="G341" s="218"/>
      <c r="H341" s="174"/>
    </row>
    <row r="342" spans="1:8" hidden="1" outlineLevel="1" x14ac:dyDescent="0.25">
      <c r="A342" s="181">
        <v>7</v>
      </c>
      <c r="B342" s="182">
        <v>46034</v>
      </c>
      <c r="C342" s="177">
        <v>78.227000000000004</v>
      </c>
      <c r="D342" s="183">
        <v>13310</v>
      </c>
      <c r="E342" s="184">
        <f t="shared" si="55"/>
        <v>1041201.37</v>
      </c>
      <c r="F342" s="185">
        <v>3185.5</v>
      </c>
      <c r="G342" s="218">
        <f t="shared" si="56"/>
        <v>249192.1085</v>
      </c>
      <c r="H342" s="174"/>
    </row>
    <row r="343" spans="1:8" hidden="1" outlineLevel="1" x14ac:dyDescent="0.25">
      <c r="A343" s="181">
        <v>8</v>
      </c>
      <c r="B343" s="182">
        <v>46035</v>
      </c>
      <c r="C343" s="177">
        <v>78.791300000000007</v>
      </c>
      <c r="D343" s="183">
        <v>13310</v>
      </c>
      <c r="E343" s="184">
        <f t="shared" si="55"/>
        <v>1048712.203</v>
      </c>
      <c r="F343" s="185">
        <v>3194</v>
      </c>
      <c r="G343" s="218">
        <f t="shared" si="56"/>
        <v>251659.41220000002</v>
      </c>
      <c r="H343" s="174"/>
    </row>
    <row r="344" spans="1:8" hidden="1" outlineLevel="1" x14ac:dyDescent="0.25">
      <c r="A344" s="181">
        <v>9</v>
      </c>
      <c r="B344" s="182">
        <v>46036</v>
      </c>
      <c r="C344" s="177">
        <v>78.852699999999999</v>
      </c>
      <c r="D344" s="183">
        <v>13335</v>
      </c>
      <c r="E344" s="184">
        <f t="shared" si="55"/>
        <v>1051500.7545</v>
      </c>
      <c r="F344" s="185">
        <v>3221</v>
      </c>
      <c r="G344" s="218">
        <f t="shared" si="56"/>
        <v>253984.54670000001</v>
      </c>
      <c r="H344" s="174"/>
    </row>
    <row r="345" spans="1:8" hidden="1" outlineLevel="1" x14ac:dyDescent="0.25">
      <c r="A345" s="181">
        <v>10</v>
      </c>
      <c r="B345" s="182">
        <v>46037</v>
      </c>
      <c r="C345" s="177">
        <v>78.571100000000001</v>
      </c>
      <c r="D345" s="183">
        <v>13205</v>
      </c>
      <c r="E345" s="184">
        <f t="shared" si="55"/>
        <v>1037531.3755</v>
      </c>
      <c r="F345" s="185">
        <v>3174</v>
      </c>
      <c r="G345" s="218">
        <f t="shared" si="56"/>
        <v>249384.67139999999</v>
      </c>
      <c r="H345" s="174"/>
    </row>
    <row r="346" spans="1:8" hidden="1" outlineLevel="1" x14ac:dyDescent="0.25">
      <c r="A346" s="181">
        <v>11</v>
      </c>
      <c r="B346" s="182">
        <v>46038</v>
      </c>
      <c r="C346" s="177">
        <v>78.528000000000006</v>
      </c>
      <c r="D346" s="183">
        <v>13000</v>
      </c>
      <c r="E346" s="184">
        <f t="shared" si="55"/>
        <v>1020864.0000000001</v>
      </c>
      <c r="F346" s="185">
        <v>3147</v>
      </c>
      <c r="G346" s="218">
        <f t="shared" si="56"/>
        <v>247127.61600000001</v>
      </c>
      <c r="H346" s="174"/>
    </row>
    <row r="347" spans="1:8" hidden="1" outlineLevel="1" x14ac:dyDescent="0.25">
      <c r="A347" s="181"/>
      <c r="B347" s="182">
        <v>46039</v>
      </c>
      <c r="C347" s="177">
        <v>77.833200000000005</v>
      </c>
      <c r="D347" s="183"/>
      <c r="E347" s="184"/>
      <c r="F347" s="185"/>
      <c r="G347" s="218"/>
      <c r="H347" s="174"/>
    </row>
    <row r="348" spans="1:8" hidden="1" outlineLevel="1" x14ac:dyDescent="0.25">
      <c r="A348" s="181"/>
      <c r="B348" s="182">
        <v>46040</v>
      </c>
      <c r="C348" s="177">
        <v>77.833200000000005</v>
      </c>
      <c r="D348" s="183"/>
      <c r="E348" s="184"/>
      <c r="F348" s="185"/>
      <c r="G348" s="218"/>
      <c r="H348" s="174"/>
    </row>
    <row r="349" spans="1:8" hidden="1" outlineLevel="1" x14ac:dyDescent="0.25">
      <c r="A349" s="181">
        <v>12</v>
      </c>
      <c r="B349" s="182">
        <v>46041</v>
      </c>
      <c r="C349" s="177">
        <v>77.833200000000005</v>
      </c>
      <c r="D349" s="183">
        <v>13000</v>
      </c>
      <c r="E349" s="184">
        <f t="shared" si="55"/>
        <v>1011831.6000000001</v>
      </c>
      <c r="F349" s="185">
        <v>3168.5</v>
      </c>
      <c r="G349" s="218">
        <f t="shared" si="56"/>
        <v>246614.49420000002</v>
      </c>
      <c r="H349" s="174"/>
    </row>
    <row r="350" spans="1:8" hidden="1" outlineLevel="1" x14ac:dyDescent="0.25">
      <c r="A350" s="181">
        <v>13</v>
      </c>
      <c r="B350" s="182">
        <v>46042</v>
      </c>
      <c r="C350" s="177">
        <v>77.758600000000001</v>
      </c>
      <c r="D350" s="183">
        <v>13059</v>
      </c>
      <c r="E350" s="184">
        <f t="shared" si="55"/>
        <v>1015449.5574</v>
      </c>
      <c r="F350" s="185">
        <v>3137</v>
      </c>
      <c r="G350" s="218">
        <f t="shared" si="56"/>
        <v>243928.72820000001</v>
      </c>
      <c r="H350" s="174"/>
    </row>
    <row r="351" spans="1:8" hidden="1" outlineLevel="1" x14ac:dyDescent="0.25">
      <c r="A351" s="181">
        <v>14</v>
      </c>
      <c r="B351" s="182">
        <v>46043</v>
      </c>
      <c r="C351" s="177">
        <v>77.824700000000007</v>
      </c>
      <c r="D351" s="183">
        <v>12898</v>
      </c>
      <c r="E351" s="184">
        <f t="shared" si="55"/>
        <v>1003782.9806000001</v>
      </c>
      <c r="F351" s="185">
        <v>3114</v>
      </c>
      <c r="G351" s="218">
        <f t="shared" si="56"/>
        <v>242346.11580000003</v>
      </c>
      <c r="H351" s="174"/>
    </row>
    <row r="352" spans="1:8" hidden="1" outlineLevel="1" x14ac:dyDescent="0.25">
      <c r="A352" s="181">
        <v>15</v>
      </c>
      <c r="B352" s="182">
        <v>46044</v>
      </c>
      <c r="C352" s="177">
        <v>77.515900000000002</v>
      </c>
      <c r="D352" s="183">
        <v>12632</v>
      </c>
      <c r="E352" s="184">
        <f t="shared" si="55"/>
        <v>979180.84880000004</v>
      </c>
      <c r="F352" s="185">
        <v>3093.5</v>
      </c>
      <c r="G352" s="218">
        <f t="shared" si="56"/>
        <v>239795.43665000002</v>
      </c>
      <c r="H352" s="174"/>
    </row>
    <row r="353" spans="1:14" hidden="1" outlineLevel="1" x14ac:dyDescent="0.25">
      <c r="A353" s="181">
        <v>16</v>
      </c>
      <c r="B353" s="182">
        <v>46045</v>
      </c>
      <c r="C353" s="177">
        <v>76.038200000000003</v>
      </c>
      <c r="D353" s="183">
        <v>12920.5</v>
      </c>
      <c r="E353" s="184">
        <f t="shared" si="55"/>
        <v>982451.56310000003</v>
      </c>
      <c r="F353" s="185">
        <v>3175</v>
      </c>
      <c r="G353" s="218">
        <f t="shared" si="56"/>
        <v>241421.285</v>
      </c>
      <c r="H353" s="174"/>
    </row>
    <row r="354" spans="1:14" hidden="1" outlineLevel="1" x14ac:dyDescent="0.25">
      <c r="A354" s="181"/>
      <c r="B354" s="182">
        <v>46046</v>
      </c>
      <c r="C354" s="177">
        <v>75.924599999999998</v>
      </c>
      <c r="D354" s="183"/>
      <c r="E354" s="184"/>
      <c r="F354" s="185"/>
      <c r="G354" s="218"/>
      <c r="H354" s="174"/>
    </row>
    <row r="355" spans="1:14" hidden="1" outlineLevel="1" x14ac:dyDescent="0.25">
      <c r="A355" s="181"/>
      <c r="B355" s="182">
        <v>46047</v>
      </c>
      <c r="C355" s="177">
        <v>75.924599999999998</v>
      </c>
      <c r="D355" s="183"/>
      <c r="E355" s="184"/>
      <c r="F355" s="185"/>
      <c r="G355" s="218"/>
      <c r="H355" s="174"/>
    </row>
    <row r="356" spans="1:14" hidden="1" outlineLevel="1" x14ac:dyDescent="0.25">
      <c r="A356" s="181">
        <v>17</v>
      </c>
      <c r="B356" s="182">
        <v>46048</v>
      </c>
      <c r="C356" s="177">
        <v>75.924599999999998</v>
      </c>
      <c r="D356" s="183">
        <v>13195</v>
      </c>
      <c r="E356" s="184">
        <f t="shared" ref="E356" si="57">C356*D356</f>
        <v>1001825.097</v>
      </c>
      <c r="F356" s="185">
        <v>3192</v>
      </c>
      <c r="G356" s="218">
        <f t="shared" ref="G356" si="58">F356*C356</f>
        <v>242351.32319999998</v>
      </c>
      <c r="H356" s="174"/>
    </row>
    <row r="357" spans="1:14" hidden="1" outlineLevel="1" x14ac:dyDescent="0.25">
      <c r="A357" s="181">
        <v>18</v>
      </c>
      <c r="B357" s="182">
        <v>46049</v>
      </c>
      <c r="C357" s="177">
        <v>76.010099999999994</v>
      </c>
      <c r="D357" s="183">
        <v>12980</v>
      </c>
      <c r="E357" s="184">
        <f t="shared" ref="E357:E361" si="59">C357*D357</f>
        <v>986611.09799999988</v>
      </c>
      <c r="F357" s="185">
        <v>3166.5</v>
      </c>
      <c r="G357" s="218">
        <f t="shared" ref="G357:G361" si="60">F357*C357</f>
        <v>240685.98164999997</v>
      </c>
      <c r="H357" s="174"/>
    </row>
    <row r="358" spans="1:14" hidden="1" outlineLevel="1" x14ac:dyDescent="0.25">
      <c r="A358" s="181">
        <v>19</v>
      </c>
      <c r="B358" s="182">
        <v>46050</v>
      </c>
      <c r="C358" s="177">
        <v>76.551900000000003</v>
      </c>
      <c r="D358" s="183">
        <v>12994</v>
      </c>
      <c r="E358" s="184">
        <f t="shared" si="59"/>
        <v>994715.38860000006</v>
      </c>
      <c r="F358" s="185">
        <v>3259</v>
      </c>
      <c r="G358" s="218">
        <f t="shared" si="60"/>
        <v>249482.6421</v>
      </c>
      <c r="H358" s="174"/>
    </row>
    <row r="359" spans="1:14" hidden="1" outlineLevel="1" x14ac:dyDescent="0.25">
      <c r="A359" s="181">
        <v>20</v>
      </c>
      <c r="B359" s="182">
        <v>46051</v>
      </c>
      <c r="C359" s="177">
        <v>76.266199999999998</v>
      </c>
      <c r="D359" s="183">
        <v>13844</v>
      </c>
      <c r="E359" s="184">
        <f t="shared" si="59"/>
        <v>1055829.2727999999</v>
      </c>
      <c r="F359" s="185">
        <v>3325</v>
      </c>
      <c r="G359" s="218">
        <f t="shared" si="60"/>
        <v>253585.11499999999</v>
      </c>
      <c r="H359" s="174"/>
    </row>
    <row r="360" spans="1:14" hidden="1" outlineLevel="1" x14ac:dyDescent="0.25">
      <c r="A360" s="181">
        <v>21</v>
      </c>
      <c r="B360" s="182">
        <v>46052</v>
      </c>
      <c r="C360" s="177">
        <v>76.025099999999995</v>
      </c>
      <c r="D360" s="183">
        <v>13369.5</v>
      </c>
      <c r="E360" s="184">
        <f t="shared" si="59"/>
        <v>1016417.57445</v>
      </c>
      <c r="F360" s="185">
        <v>3110</v>
      </c>
      <c r="G360" s="218">
        <f t="shared" si="60"/>
        <v>236438.06099999999</v>
      </c>
      <c r="H360" s="174"/>
    </row>
    <row r="361" spans="1:14" ht="16.5" hidden="1" outlineLevel="1" thickBot="1" x14ac:dyDescent="0.3">
      <c r="A361" s="186"/>
      <c r="B361" s="187">
        <v>46053</v>
      </c>
      <c r="C361" s="188">
        <v>75.732699999999994</v>
      </c>
      <c r="D361" s="189"/>
      <c r="E361" s="190">
        <f t="shared" si="59"/>
        <v>0</v>
      </c>
      <c r="F361" s="191"/>
      <c r="G361" s="219">
        <f t="shared" si="60"/>
        <v>0</v>
      </c>
      <c r="H361" s="174"/>
    </row>
    <row r="362" spans="1:14" ht="16.5" hidden="1" outlineLevel="1" thickBot="1" x14ac:dyDescent="0.3">
      <c r="A362" s="24"/>
      <c r="B362" s="24"/>
      <c r="D362" s="24"/>
      <c r="E362" s="24"/>
      <c r="F362" s="24"/>
      <c r="G362" s="24"/>
      <c r="H362" s="24"/>
    </row>
    <row r="363" spans="1:14" ht="24" collapsed="1" thickBot="1" x14ac:dyDescent="0.4">
      <c r="A363" s="270" t="s">
        <v>75</v>
      </c>
      <c r="B363" s="271"/>
      <c r="C363" s="81">
        <f>SUM(C364:C394)/28</f>
        <v>76.851646428571442</v>
      </c>
      <c r="D363" s="173">
        <f>SUM(D364:D394)/20</f>
        <v>12967.825000000001</v>
      </c>
      <c r="E363" s="32">
        <f>SUM(E364:E394)/20</f>
        <v>996505.37711999996</v>
      </c>
      <c r="F363" s="173">
        <f>SUM(F364:F394)/20</f>
        <v>3065.35</v>
      </c>
      <c r="G363" s="76">
        <f>SUM(G364:G394)/20</f>
        <v>235551.69540749997</v>
      </c>
      <c r="H363" s="174"/>
      <c r="I363" s="25">
        <f>((D363-100)*C363*1.22+150000)/1000</f>
        <v>1356.4745153897736</v>
      </c>
      <c r="J363" s="25">
        <f>(F363*C363*1.22+100000)/1000</f>
        <v>387.40417714338213</v>
      </c>
      <c r="K363" s="20">
        <v>370</v>
      </c>
      <c r="M363" s="248">
        <f>E363*1.22/1000</f>
        <v>1215.7365600864</v>
      </c>
      <c r="N363" s="249">
        <f>G363*1.22/1000</f>
        <v>287.37306839714995</v>
      </c>
    </row>
    <row r="364" spans="1:14" ht="16.5" hidden="1" outlineLevel="1" thickBot="1" x14ac:dyDescent="0.3">
      <c r="A364" s="163"/>
      <c r="B364" s="90">
        <v>46054</v>
      </c>
      <c r="C364" s="160">
        <v>75.732699999999994</v>
      </c>
      <c r="D364" s="65"/>
      <c r="E364" s="62"/>
      <c r="F364" s="77"/>
      <c r="G364" s="62"/>
      <c r="M364" s="250"/>
      <c r="N364" s="251"/>
    </row>
    <row r="365" spans="1:14" ht="16.5" hidden="1" outlineLevel="1" thickBot="1" x14ac:dyDescent="0.3">
      <c r="A365" s="149">
        <v>1</v>
      </c>
      <c r="B365" s="171">
        <v>46055</v>
      </c>
      <c r="C365" s="160">
        <v>75.732699999999994</v>
      </c>
      <c r="D365" s="66">
        <v>12987</v>
      </c>
      <c r="E365" s="67">
        <f t="shared" ref="E365" si="61">C365*D365</f>
        <v>983540.57489999989</v>
      </c>
      <c r="F365" s="57">
        <v>3042</v>
      </c>
      <c r="G365" s="67">
        <f t="shared" ref="G365" si="62">F365*C365</f>
        <v>230378.87339999998</v>
      </c>
      <c r="M365" s="250"/>
      <c r="N365" s="251"/>
    </row>
    <row r="366" spans="1:14" ht="16.5" hidden="1" outlineLevel="1" thickBot="1" x14ac:dyDescent="0.3">
      <c r="A366" s="149">
        <v>2</v>
      </c>
      <c r="B366" s="171">
        <v>46056</v>
      </c>
      <c r="C366" s="160">
        <v>77.022300000000001</v>
      </c>
      <c r="D366" s="66">
        <v>13295</v>
      </c>
      <c r="E366" s="67">
        <f t="shared" ref="E366:E388" si="63">C366*D366</f>
        <v>1024011.4785</v>
      </c>
      <c r="F366" s="57">
        <v>3103</v>
      </c>
      <c r="G366" s="67">
        <f t="shared" ref="G366:G388" si="64">F366*C366</f>
        <v>239000.19690000001</v>
      </c>
      <c r="M366" s="250"/>
      <c r="N366" s="251"/>
    </row>
    <row r="367" spans="1:14" ht="16.5" hidden="1" outlineLevel="1" thickBot="1" x14ac:dyDescent="0.3">
      <c r="A367" s="149">
        <v>3</v>
      </c>
      <c r="B367" s="171">
        <v>46057</v>
      </c>
      <c r="C367" s="160">
        <v>76.981700000000004</v>
      </c>
      <c r="D367" s="66">
        <v>13247</v>
      </c>
      <c r="E367" s="67">
        <f t="shared" si="63"/>
        <v>1019776.5799</v>
      </c>
      <c r="F367" s="57">
        <v>3047.5</v>
      </c>
      <c r="G367" s="67">
        <f t="shared" si="64"/>
        <v>234601.73075000002</v>
      </c>
      <c r="M367" s="250"/>
      <c r="N367" s="251"/>
    </row>
    <row r="368" spans="1:14" ht="16.5" hidden="1" outlineLevel="1" thickBot="1" x14ac:dyDescent="0.3">
      <c r="A368" s="149">
        <v>4</v>
      </c>
      <c r="B368" s="171">
        <v>46058</v>
      </c>
      <c r="C368" s="160">
        <v>76.910200000000003</v>
      </c>
      <c r="D368" s="66">
        <v>12822</v>
      </c>
      <c r="E368" s="67">
        <f t="shared" si="63"/>
        <v>986142.58440000005</v>
      </c>
      <c r="F368" s="57">
        <v>3014</v>
      </c>
      <c r="G368" s="67">
        <f t="shared" si="64"/>
        <v>231807.34280000001</v>
      </c>
      <c r="M368" s="250"/>
      <c r="N368" s="251"/>
    </row>
    <row r="369" spans="1:14" ht="16.5" hidden="1" outlineLevel="1" thickBot="1" x14ac:dyDescent="0.3">
      <c r="A369" s="149">
        <v>5</v>
      </c>
      <c r="B369" s="171">
        <v>46059</v>
      </c>
      <c r="C369" s="160">
        <v>76.552300000000002</v>
      </c>
      <c r="D369" s="66">
        <v>12840</v>
      </c>
      <c r="E369" s="67">
        <f t="shared" si="63"/>
        <v>982931.53200000001</v>
      </c>
      <c r="F369" s="57">
        <v>3045</v>
      </c>
      <c r="G369" s="67">
        <f t="shared" si="64"/>
        <v>233101.75350000002</v>
      </c>
      <c r="M369" s="250"/>
      <c r="N369" s="251"/>
    </row>
    <row r="370" spans="1:14" ht="16.5" hidden="1" outlineLevel="1" thickBot="1" x14ac:dyDescent="0.3">
      <c r="A370" s="149"/>
      <c r="B370" s="171">
        <v>46060</v>
      </c>
      <c r="C370" s="160">
        <v>77.054000000000002</v>
      </c>
      <c r="D370" s="66"/>
      <c r="E370" s="67"/>
      <c r="F370" s="57"/>
      <c r="G370" s="67"/>
      <c r="M370" s="250"/>
      <c r="N370" s="251"/>
    </row>
    <row r="371" spans="1:14" ht="16.5" hidden="1" outlineLevel="1" thickBot="1" x14ac:dyDescent="0.3">
      <c r="A371" s="149"/>
      <c r="B371" s="171">
        <v>46061</v>
      </c>
      <c r="C371" s="160">
        <v>77.054000000000002</v>
      </c>
      <c r="D371" s="66"/>
      <c r="E371" s="67"/>
      <c r="F371" s="57"/>
      <c r="G371" s="67"/>
      <c r="M371" s="250"/>
      <c r="N371" s="251"/>
    </row>
    <row r="372" spans="1:14" ht="16.5" hidden="1" outlineLevel="1" thickBot="1" x14ac:dyDescent="0.3">
      <c r="A372" s="149">
        <v>6</v>
      </c>
      <c r="B372" s="171">
        <v>46062</v>
      </c>
      <c r="C372" s="160">
        <v>77.054000000000002</v>
      </c>
      <c r="D372" s="66">
        <v>12980</v>
      </c>
      <c r="E372" s="67">
        <f t="shared" si="63"/>
        <v>1000160.92</v>
      </c>
      <c r="F372" s="57">
        <v>3083.5</v>
      </c>
      <c r="G372" s="67">
        <f t="shared" si="64"/>
        <v>237596.00900000002</v>
      </c>
      <c r="M372" s="250"/>
      <c r="N372" s="251"/>
    </row>
    <row r="373" spans="1:14" ht="16.5" hidden="1" outlineLevel="1" thickBot="1" x14ac:dyDescent="0.3">
      <c r="A373" s="149">
        <v>7</v>
      </c>
      <c r="B373" s="171">
        <v>46063</v>
      </c>
      <c r="C373" s="160">
        <v>77.650199999999998</v>
      </c>
      <c r="D373" s="66">
        <v>13002</v>
      </c>
      <c r="E373" s="67">
        <f t="shared" si="63"/>
        <v>1009607.9003999999</v>
      </c>
      <c r="F373" s="57">
        <v>3063</v>
      </c>
      <c r="G373" s="67">
        <f t="shared" si="64"/>
        <v>237842.5626</v>
      </c>
      <c r="M373" s="250"/>
      <c r="N373" s="251"/>
    </row>
    <row r="374" spans="1:14" ht="16.5" hidden="1" outlineLevel="1" thickBot="1" x14ac:dyDescent="0.3">
      <c r="A374" s="149">
        <v>8</v>
      </c>
      <c r="B374" s="171">
        <v>46064</v>
      </c>
      <c r="C374" s="160">
        <v>77.209100000000007</v>
      </c>
      <c r="D374" s="66">
        <v>13327</v>
      </c>
      <c r="E374" s="67">
        <f t="shared" si="63"/>
        <v>1028965.6757000001</v>
      </c>
      <c r="F374" s="57">
        <v>3098</v>
      </c>
      <c r="G374" s="67">
        <f t="shared" si="64"/>
        <v>239193.79180000001</v>
      </c>
      <c r="M374" s="250"/>
      <c r="N374" s="251"/>
    </row>
    <row r="375" spans="1:14" ht="16.5" hidden="1" outlineLevel="1" thickBot="1" x14ac:dyDescent="0.3">
      <c r="A375" s="149">
        <v>9</v>
      </c>
      <c r="B375" s="171">
        <v>46065</v>
      </c>
      <c r="C375" s="160">
        <v>77.464799999999997</v>
      </c>
      <c r="D375" s="66">
        <v>13172</v>
      </c>
      <c r="E375" s="67">
        <f t="shared" si="63"/>
        <v>1020366.3456</v>
      </c>
      <c r="F375" s="57">
        <v>3117</v>
      </c>
      <c r="G375" s="67">
        <f t="shared" si="64"/>
        <v>241457.78159999999</v>
      </c>
      <c r="M375" s="250"/>
      <c r="N375" s="251"/>
    </row>
    <row r="376" spans="1:14" ht="16.5" hidden="1" outlineLevel="1" thickBot="1" x14ac:dyDescent="0.3">
      <c r="A376" s="149">
        <v>10</v>
      </c>
      <c r="B376" s="171">
        <v>46066</v>
      </c>
      <c r="C376" s="160">
        <v>77.188000000000002</v>
      </c>
      <c r="D376" s="66">
        <v>12719</v>
      </c>
      <c r="E376" s="67">
        <f t="shared" si="63"/>
        <v>981754.17200000002</v>
      </c>
      <c r="F376" s="57">
        <v>2996</v>
      </c>
      <c r="G376" s="67">
        <f t="shared" si="64"/>
        <v>231255.24800000002</v>
      </c>
      <c r="M376" s="250"/>
      <c r="N376" s="251"/>
    </row>
    <row r="377" spans="1:14" ht="16.5" hidden="1" outlineLevel="1" thickBot="1" x14ac:dyDescent="0.3">
      <c r="A377" s="149"/>
      <c r="B377" s="171">
        <v>46067</v>
      </c>
      <c r="C377" s="160">
        <v>77.194400000000002</v>
      </c>
      <c r="D377" s="66"/>
      <c r="E377" s="67"/>
      <c r="F377" s="57"/>
      <c r="G377" s="67"/>
      <c r="M377" s="250"/>
      <c r="N377" s="251"/>
    </row>
    <row r="378" spans="1:14" ht="16.5" hidden="1" outlineLevel="1" thickBot="1" x14ac:dyDescent="0.3">
      <c r="A378" s="149"/>
      <c r="B378" s="171">
        <v>46068</v>
      </c>
      <c r="C378" s="160">
        <v>77.194400000000002</v>
      </c>
      <c r="D378" s="66"/>
      <c r="E378" s="67"/>
      <c r="F378" s="57"/>
      <c r="G378" s="67"/>
      <c r="M378" s="250"/>
      <c r="N378" s="251"/>
    </row>
    <row r="379" spans="1:14" ht="16.5" hidden="1" outlineLevel="1" thickBot="1" x14ac:dyDescent="0.3">
      <c r="A379" s="149">
        <v>11</v>
      </c>
      <c r="B379" s="171">
        <v>46069</v>
      </c>
      <c r="C379" s="160">
        <v>77.194400000000002</v>
      </c>
      <c r="D379" s="66">
        <v>12757</v>
      </c>
      <c r="E379" s="67">
        <f t="shared" si="63"/>
        <v>984768.9608</v>
      </c>
      <c r="F379" s="57">
        <v>3037.5</v>
      </c>
      <c r="G379" s="67">
        <f t="shared" si="64"/>
        <v>234477.99</v>
      </c>
      <c r="M379" s="250"/>
      <c r="N379" s="251"/>
    </row>
    <row r="380" spans="1:14" ht="16.5" hidden="1" outlineLevel="1" thickBot="1" x14ac:dyDescent="0.3">
      <c r="A380" s="149">
        <v>12</v>
      </c>
      <c r="B380" s="171">
        <v>46070</v>
      </c>
      <c r="C380" s="160">
        <v>76.620099999999994</v>
      </c>
      <c r="D380" s="66">
        <v>12561</v>
      </c>
      <c r="E380" s="67">
        <f t="shared" si="63"/>
        <v>962425.07609999995</v>
      </c>
      <c r="F380" s="57">
        <v>3014</v>
      </c>
      <c r="G380" s="67">
        <f t="shared" si="64"/>
        <v>230932.98139999999</v>
      </c>
      <c r="M380" s="250"/>
      <c r="N380" s="251"/>
    </row>
    <row r="381" spans="1:14" ht="16.5" hidden="1" outlineLevel="1" thickBot="1" x14ac:dyDescent="0.3">
      <c r="A381" s="149">
        <v>13</v>
      </c>
      <c r="B381" s="171">
        <v>46071</v>
      </c>
      <c r="C381" s="160">
        <v>76.738900000000001</v>
      </c>
      <c r="D381" s="66">
        <v>12603</v>
      </c>
      <c r="E381" s="67">
        <f t="shared" si="63"/>
        <v>967140.3567</v>
      </c>
      <c r="F381" s="57">
        <v>3035</v>
      </c>
      <c r="G381" s="67">
        <f t="shared" si="64"/>
        <v>232902.56150000001</v>
      </c>
      <c r="M381" s="250"/>
      <c r="N381" s="251"/>
    </row>
    <row r="382" spans="1:14" ht="16.5" hidden="1" outlineLevel="1" thickBot="1" x14ac:dyDescent="0.3">
      <c r="A382" s="149">
        <v>14</v>
      </c>
      <c r="B382" s="171">
        <v>46072</v>
      </c>
      <c r="C382" s="160">
        <v>76.1524</v>
      </c>
      <c r="D382" s="66">
        <v>12626</v>
      </c>
      <c r="E382" s="67">
        <f t="shared" si="63"/>
        <v>961500.20239999995</v>
      </c>
      <c r="F382" s="57">
        <v>3026</v>
      </c>
      <c r="G382" s="67">
        <f t="shared" si="64"/>
        <v>230437.1624</v>
      </c>
      <c r="M382" s="250"/>
      <c r="N382" s="251"/>
    </row>
    <row r="383" spans="1:14" ht="16.5" hidden="1" outlineLevel="1" thickBot="1" x14ac:dyDescent="0.3">
      <c r="A383" s="149">
        <v>15</v>
      </c>
      <c r="B383" s="171">
        <v>46073</v>
      </c>
      <c r="C383" s="160">
        <v>76.640500000000003</v>
      </c>
      <c r="D383" s="66">
        <v>12750</v>
      </c>
      <c r="E383" s="67">
        <f t="shared" si="63"/>
        <v>977166.375</v>
      </c>
      <c r="F383" s="57">
        <v>3053</v>
      </c>
      <c r="G383" s="67">
        <f t="shared" si="64"/>
        <v>233983.44650000002</v>
      </c>
      <c r="M383" s="250"/>
      <c r="N383" s="251"/>
    </row>
    <row r="384" spans="1:14" ht="16.5" hidden="1" outlineLevel="1" thickBot="1" x14ac:dyDescent="0.3">
      <c r="A384" s="149"/>
      <c r="B384" s="171">
        <v>46074</v>
      </c>
      <c r="C384" s="160">
        <v>76.751900000000006</v>
      </c>
      <c r="D384" s="66"/>
      <c r="E384" s="67"/>
      <c r="F384" s="57"/>
      <c r="G384" s="67"/>
      <c r="M384" s="250"/>
      <c r="N384" s="251"/>
    </row>
    <row r="385" spans="1:14" ht="16.5" hidden="1" outlineLevel="1" thickBot="1" x14ac:dyDescent="0.3">
      <c r="A385" s="149"/>
      <c r="B385" s="171">
        <v>46075</v>
      </c>
      <c r="C385" s="160">
        <v>76.751900000000006</v>
      </c>
      <c r="D385" s="66"/>
      <c r="E385" s="67"/>
      <c r="F385" s="57"/>
      <c r="G385" s="67"/>
      <c r="M385" s="250"/>
      <c r="N385" s="251"/>
    </row>
    <row r="386" spans="1:14" ht="16.5" hidden="1" outlineLevel="1" thickBot="1" x14ac:dyDescent="0.3">
      <c r="A386" s="149">
        <v>16</v>
      </c>
      <c r="B386" s="171">
        <v>46076</v>
      </c>
      <c r="C386" s="160">
        <v>76.751900000000006</v>
      </c>
      <c r="D386" s="66">
        <v>12832</v>
      </c>
      <c r="E386" s="67">
        <f t="shared" si="63"/>
        <v>984880.38080000004</v>
      </c>
      <c r="F386" s="57">
        <v>3070</v>
      </c>
      <c r="G386" s="67">
        <f t="shared" si="64"/>
        <v>235628.33300000001</v>
      </c>
      <c r="M386" s="250"/>
      <c r="N386" s="251"/>
    </row>
    <row r="387" spans="1:14" ht="16.5" hidden="1" outlineLevel="1" thickBot="1" x14ac:dyDescent="0.3">
      <c r="A387" s="149">
        <v>17</v>
      </c>
      <c r="B387" s="171">
        <v>46077</v>
      </c>
      <c r="C387" s="160">
        <v>76.751900000000006</v>
      </c>
      <c r="D387" s="66">
        <v>13011</v>
      </c>
      <c r="E387" s="67">
        <f t="shared" si="63"/>
        <v>998618.97090000007</v>
      </c>
      <c r="F387" s="57">
        <v>3077</v>
      </c>
      <c r="G387" s="67">
        <f t="shared" si="64"/>
        <v>236165.5963</v>
      </c>
      <c r="M387" s="250"/>
      <c r="N387" s="251"/>
    </row>
    <row r="388" spans="1:14" ht="16.5" hidden="1" outlineLevel="1" thickBot="1" x14ac:dyDescent="0.3">
      <c r="A388" s="149">
        <v>18</v>
      </c>
      <c r="B388" s="171">
        <v>46078</v>
      </c>
      <c r="C388" s="160">
        <v>76.634200000000007</v>
      </c>
      <c r="D388" s="66">
        <v>13171</v>
      </c>
      <c r="E388" s="67">
        <f t="shared" si="63"/>
        <v>1009349.0482000001</v>
      </c>
      <c r="F388" s="57">
        <v>3107</v>
      </c>
      <c r="G388" s="67">
        <f t="shared" si="64"/>
        <v>238102.45940000002</v>
      </c>
      <c r="M388" s="250"/>
      <c r="N388" s="251"/>
    </row>
    <row r="389" spans="1:14" ht="16.5" hidden="1" outlineLevel="1" thickBot="1" x14ac:dyDescent="0.3">
      <c r="A389" s="149">
        <v>19</v>
      </c>
      <c r="B389" s="171">
        <v>46079</v>
      </c>
      <c r="C389" s="160">
        <v>76.467799999999997</v>
      </c>
      <c r="D389" s="66">
        <v>13215</v>
      </c>
      <c r="E389" s="67">
        <f t="shared" ref="E389:E390" si="65">C389*D389</f>
        <v>1010521.977</v>
      </c>
      <c r="F389" s="57">
        <v>3121</v>
      </c>
      <c r="G389" s="67">
        <f t="shared" ref="G389:G390" si="66">F389*C389</f>
        <v>238656.00379999998</v>
      </c>
      <c r="M389" s="250"/>
      <c r="N389" s="251"/>
    </row>
    <row r="390" spans="1:14" ht="16.5" hidden="1" outlineLevel="1" thickBot="1" x14ac:dyDescent="0.3">
      <c r="A390" s="149">
        <v>20</v>
      </c>
      <c r="B390" s="171">
        <v>46080</v>
      </c>
      <c r="C390" s="160">
        <v>77.121799999999993</v>
      </c>
      <c r="D390" s="66">
        <v>13439.5</v>
      </c>
      <c r="E390" s="67">
        <f t="shared" si="65"/>
        <v>1036478.4310999999</v>
      </c>
      <c r="F390" s="57">
        <v>3157.5</v>
      </c>
      <c r="G390" s="67">
        <f t="shared" si="66"/>
        <v>243512.08349999998</v>
      </c>
      <c r="M390" s="250"/>
      <c r="N390" s="251"/>
    </row>
    <row r="391" spans="1:14" ht="16.5" hidden="1" outlineLevel="1" thickBot="1" x14ac:dyDescent="0.3">
      <c r="A391" s="149"/>
      <c r="B391" s="171">
        <v>46081</v>
      </c>
      <c r="C391" s="160">
        <v>77.273600000000002</v>
      </c>
      <c r="D391" s="66"/>
      <c r="E391" s="67"/>
      <c r="F391" s="57"/>
      <c r="G391" s="67"/>
      <c r="M391" s="250"/>
      <c r="N391" s="251"/>
    </row>
    <row r="392" spans="1:14" ht="16.5" hidden="1" outlineLevel="1" thickBot="1" x14ac:dyDescent="0.3">
      <c r="A392" s="149"/>
      <c r="B392" s="171"/>
      <c r="C392" s="160"/>
      <c r="D392" s="66"/>
      <c r="E392" s="67"/>
      <c r="F392" s="57"/>
      <c r="G392" s="67"/>
      <c r="M392" s="250"/>
      <c r="N392" s="251"/>
    </row>
    <row r="393" spans="1:14" ht="16.5" hidden="1" outlineLevel="1" thickBot="1" x14ac:dyDescent="0.3">
      <c r="A393" s="149"/>
      <c r="B393" s="171"/>
      <c r="C393" s="160"/>
      <c r="D393" s="66"/>
      <c r="E393" s="67"/>
      <c r="F393" s="57"/>
      <c r="G393" s="67"/>
      <c r="M393" s="250"/>
      <c r="N393" s="251"/>
    </row>
    <row r="394" spans="1:14" ht="16.5" hidden="1" outlineLevel="1" thickBot="1" x14ac:dyDescent="0.3">
      <c r="A394" s="150"/>
      <c r="B394" s="172"/>
      <c r="C394" s="161"/>
      <c r="D394" s="70"/>
      <c r="E394" s="156"/>
      <c r="F394" s="79"/>
      <c r="G394" s="156"/>
      <c r="M394" s="250"/>
      <c r="N394" s="251"/>
    </row>
    <row r="395" spans="1:14" ht="16.5" hidden="1" outlineLevel="1" thickBot="1" x14ac:dyDescent="0.3">
      <c r="M395" s="250"/>
      <c r="N395" s="251"/>
    </row>
    <row r="396" spans="1:14" ht="24" collapsed="1" thickBot="1" x14ac:dyDescent="0.4">
      <c r="A396" s="270" t="s">
        <v>30</v>
      </c>
      <c r="B396" s="271"/>
      <c r="C396" s="81">
        <f>SUM(C397:C427)/31</f>
        <v>80.413154838709673</v>
      </c>
      <c r="D396" s="173">
        <f>SUM(D397:D427)/21</f>
        <v>12510.809523809523</v>
      </c>
      <c r="E396" s="32">
        <f>SUM(E397:E427)/21</f>
        <v>1003162.8481285715</v>
      </c>
      <c r="F396" s="173">
        <f>SUM(F397:F427)/21</f>
        <v>3359.9285714285716</v>
      </c>
      <c r="G396" s="76">
        <f>SUM(G397:G427)/21</f>
        <v>269576.0344</v>
      </c>
      <c r="H396" s="174"/>
      <c r="I396" s="25">
        <f>((D396-100)*C396*1.22+150000)/1000</f>
        <v>1367.5506644524298</v>
      </c>
      <c r="J396" s="25">
        <f>(F396*C396*1.22+100000)/1000</f>
        <v>429.62259688277413</v>
      </c>
      <c r="K396" s="20">
        <v>420</v>
      </c>
      <c r="L396" s="20"/>
      <c r="M396" s="252">
        <f>E396*1.22/1000</f>
        <v>1223.8586747168572</v>
      </c>
      <c r="N396" s="253">
        <f>G396*1.22/1000</f>
        <v>328.88276196799995</v>
      </c>
    </row>
    <row r="397" spans="1:14" ht="19.5" hidden="1" outlineLevel="1" thickBot="1" x14ac:dyDescent="0.35">
      <c r="A397" s="163"/>
      <c r="B397" s="90">
        <v>46082</v>
      </c>
      <c r="C397" s="160">
        <v>77.273600000000002</v>
      </c>
      <c r="D397" s="65"/>
      <c r="E397" s="62"/>
      <c r="F397" s="77"/>
      <c r="G397" s="62"/>
      <c r="K397" s="20"/>
      <c r="L397" s="20"/>
      <c r="M397" s="227"/>
      <c r="N397" s="226"/>
    </row>
    <row r="398" spans="1:14" ht="19.5" hidden="1" outlineLevel="1" thickBot="1" x14ac:dyDescent="0.35">
      <c r="A398" s="149">
        <v>1</v>
      </c>
      <c r="B398" s="171">
        <v>46083</v>
      </c>
      <c r="C398" s="160">
        <v>77.273600000000002</v>
      </c>
      <c r="D398" s="66">
        <v>13230</v>
      </c>
      <c r="E398" s="67">
        <f t="shared" ref="E398:E423" si="67">C398*D398</f>
        <v>1022329.728</v>
      </c>
      <c r="F398" s="57">
        <v>3226</v>
      </c>
      <c r="G398" s="67">
        <f t="shared" ref="G398:G423" si="68">F398*C398</f>
        <v>249284.6336</v>
      </c>
      <c r="K398" s="20"/>
      <c r="L398" s="20"/>
      <c r="M398" s="227"/>
      <c r="N398" s="226"/>
    </row>
    <row r="399" spans="1:14" ht="19.5" hidden="1" outlineLevel="1" thickBot="1" x14ac:dyDescent="0.35">
      <c r="A399" s="149">
        <v>2</v>
      </c>
      <c r="B399" s="171">
        <v>46084</v>
      </c>
      <c r="C399" s="160">
        <v>77.173400000000001</v>
      </c>
      <c r="D399" s="66">
        <v>12820</v>
      </c>
      <c r="E399" s="67">
        <f t="shared" si="67"/>
        <v>989362.98800000001</v>
      </c>
      <c r="F399" s="57">
        <v>3269</v>
      </c>
      <c r="G399" s="67">
        <f t="shared" si="68"/>
        <v>252279.84460000001</v>
      </c>
      <c r="K399" s="20"/>
      <c r="L399" s="20"/>
      <c r="M399" s="227"/>
      <c r="N399" s="226"/>
    </row>
    <row r="400" spans="1:14" ht="19.5" hidden="1" outlineLevel="1" thickBot="1" x14ac:dyDescent="0.35">
      <c r="A400" s="149">
        <v>3</v>
      </c>
      <c r="B400" s="171">
        <v>46085</v>
      </c>
      <c r="C400" s="160">
        <v>77.609300000000005</v>
      </c>
      <c r="D400" s="66">
        <v>12960</v>
      </c>
      <c r="E400" s="67">
        <f t="shared" si="67"/>
        <v>1005816.528</v>
      </c>
      <c r="F400" s="57">
        <v>3378</v>
      </c>
      <c r="G400" s="67">
        <f t="shared" si="68"/>
        <v>262164.21540000004</v>
      </c>
      <c r="K400" s="20"/>
      <c r="L400" s="20"/>
      <c r="M400" s="227"/>
      <c r="N400" s="226"/>
    </row>
    <row r="401" spans="1:14" ht="19.5" hidden="1" outlineLevel="1" thickBot="1" x14ac:dyDescent="0.35">
      <c r="A401" s="149">
        <v>4</v>
      </c>
      <c r="B401" s="171">
        <v>46086</v>
      </c>
      <c r="C401" s="160">
        <v>77.800899999999999</v>
      </c>
      <c r="D401" s="66">
        <v>12841</v>
      </c>
      <c r="E401" s="67">
        <f t="shared" ref="E401" si="69">C401*D401</f>
        <v>999041.35690000001</v>
      </c>
      <c r="F401" s="57">
        <v>3298.5</v>
      </c>
      <c r="G401" s="67">
        <f t="shared" ref="G401" si="70">F401*C401</f>
        <v>256626.26864999998</v>
      </c>
      <c r="K401" s="20"/>
      <c r="L401" s="20"/>
      <c r="M401" s="227"/>
      <c r="N401" s="226"/>
    </row>
    <row r="402" spans="1:14" ht="19.5" hidden="1" outlineLevel="1" thickBot="1" x14ac:dyDescent="0.35">
      <c r="A402" s="149">
        <v>5</v>
      </c>
      <c r="B402" s="171">
        <v>46087</v>
      </c>
      <c r="C402" s="160">
        <v>78.19</v>
      </c>
      <c r="D402" s="66">
        <v>12808</v>
      </c>
      <c r="E402" s="67">
        <f t="shared" ref="E402:E405" si="71">C402*D402</f>
        <v>1001457.52</v>
      </c>
      <c r="F402" s="57">
        <v>3385</v>
      </c>
      <c r="G402" s="67">
        <f t="shared" ref="G402:G405" si="72">F402*C402</f>
        <v>264673.14999999997</v>
      </c>
      <c r="K402" s="20"/>
      <c r="L402" s="20"/>
      <c r="M402" s="227"/>
      <c r="N402" s="226"/>
    </row>
    <row r="403" spans="1:14" ht="19.5" hidden="1" outlineLevel="1" thickBot="1" x14ac:dyDescent="0.35">
      <c r="A403" s="149"/>
      <c r="B403" s="171">
        <v>46088</v>
      </c>
      <c r="C403" s="160">
        <v>79.150000000000006</v>
      </c>
      <c r="D403" s="66"/>
      <c r="E403" s="67"/>
      <c r="F403" s="57"/>
      <c r="G403" s="67"/>
      <c r="K403" s="20"/>
      <c r="L403" s="20"/>
      <c r="M403" s="227"/>
      <c r="N403" s="226"/>
    </row>
    <row r="404" spans="1:14" ht="19.5" hidden="1" outlineLevel="1" thickBot="1" x14ac:dyDescent="0.35">
      <c r="A404" s="149"/>
      <c r="B404" s="171">
        <v>46089</v>
      </c>
      <c r="C404" s="160">
        <v>79.150000000000006</v>
      </c>
      <c r="D404" s="66"/>
      <c r="E404" s="67"/>
      <c r="F404" s="57"/>
      <c r="G404" s="67"/>
      <c r="K404" s="20"/>
      <c r="L404" s="20"/>
      <c r="M404" s="227"/>
      <c r="N404" s="226"/>
    </row>
    <row r="405" spans="1:14" ht="19.5" hidden="1" outlineLevel="1" thickBot="1" x14ac:dyDescent="0.35">
      <c r="A405" s="149">
        <v>6</v>
      </c>
      <c r="B405" s="171">
        <v>46090</v>
      </c>
      <c r="C405" s="160">
        <v>79.150000000000006</v>
      </c>
      <c r="D405" s="66">
        <v>12750.5</v>
      </c>
      <c r="E405" s="67">
        <f t="shared" si="71"/>
        <v>1009202.0750000001</v>
      </c>
      <c r="F405" s="57">
        <v>3406.5</v>
      </c>
      <c r="G405" s="67">
        <f t="shared" si="72"/>
        <v>269624.47500000003</v>
      </c>
      <c r="K405" s="20"/>
      <c r="L405" s="20"/>
      <c r="M405" s="227"/>
      <c r="N405" s="226"/>
    </row>
    <row r="406" spans="1:14" ht="19.5" hidden="1" outlineLevel="1" thickBot="1" x14ac:dyDescent="0.35">
      <c r="A406" s="149">
        <v>7</v>
      </c>
      <c r="B406" s="171">
        <v>46091</v>
      </c>
      <c r="C406" s="160">
        <v>79.150000000000006</v>
      </c>
      <c r="D406" s="66">
        <v>12920.5</v>
      </c>
      <c r="E406" s="67">
        <f t="shared" si="67"/>
        <v>1022657.5750000001</v>
      </c>
      <c r="F406" s="57">
        <v>3402.5</v>
      </c>
      <c r="G406" s="67">
        <f t="shared" si="68"/>
        <v>269307.875</v>
      </c>
      <c r="K406" s="20"/>
      <c r="L406" s="20"/>
      <c r="M406" s="227"/>
      <c r="N406" s="226"/>
    </row>
    <row r="407" spans="1:14" ht="19.5" hidden="1" outlineLevel="1" thickBot="1" x14ac:dyDescent="0.35">
      <c r="A407" s="149">
        <v>8</v>
      </c>
      <c r="B407" s="171">
        <v>46092</v>
      </c>
      <c r="C407" s="160">
        <v>78.739599999999996</v>
      </c>
      <c r="D407" s="66">
        <v>12850.5</v>
      </c>
      <c r="E407" s="67">
        <f t="shared" si="67"/>
        <v>1011843.2298</v>
      </c>
      <c r="F407" s="57">
        <v>3467</v>
      </c>
      <c r="G407" s="67">
        <f t="shared" si="68"/>
        <v>272990.19319999998</v>
      </c>
      <c r="K407" s="20"/>
      <c r="L407" s="20"/>
      <c r="M407" s="227"/>
      <c r="N407" s="226"/>
    </row>
    <row r="408" spans="1:14" ht="19.5" hidden="1" outlineLevel="1" thickBot="1" x14ac:dyDescent="0.35">
      <c r="A408" s="149">
        <v>9</v>
      </c>
      <c r="B408" s="171">
        <v>46093</v>
      </c>
      <c r="C408" s="160">
        <v>79.067999999999998</v>
      </c>
      <c r="D408" s="66">
        <v>12896</v>
      </c>
      <c r="E408" s="67">
        <f t="shared" si="67"/>
        <v>1019660.928</v>
      </c>
      <c r="F408" s="57">
        <v>3516.5</v>
      </c>
      <c r="G408" s="67">
        <f t="shared" si="68"/>
        <v>278042.62199999997</v>
      </c>
      <c r="K408" s="20"/>
      <c r="L408" s="20"/>
      <c r="M408" s="227"/>
      <c r="N408" s="226"/>
    </row>
    <row r="409" spans="1:14" ht="19.5" hidden="1" outlineLevel="1" thickBot="1" x14ac:dyDescent="0.35">
      <c r="A409" s="149">
        <v>10</v>
      </c>
      <c r="B409" s="171">
        <v>46094</v>
      </c>
      <c r="C409" s="160">
        <v>79.067099999999996</v>
      </c>
      <c r="D409" s="66">
        <v>12758</v>
      </c>
      <c r="E409" s="67">
        <f t="shared" si="67"/>
        <v>1008738.0617999999</v>
      </c>
      <c r="F409" s="57">
        <v>3520</v>
      </c>
      <c r="G409" s="67">
        <f t="shared" si="68"/>
        <v>278316.19199999998</v>
      </c>
      <c r="K409" s="20"/>
      <c r="L409" s="20"/>
      <c r="M409" s="227"/>
      <c r="N409" s="226"/>
    </row>
    <row r="410" spans="1:14" ht="19.5" hidden="1" outlineLevel="1" thickBot="1" x14ac:dyDescent="0.35">
      <c r="A410" s="149"/>
      <c r="B410" s="171">
        <v>46095</v>
      </c>
      <c r="C410" s="160">
        <v>80.225399999999993</v>
      </c>
      <c r="D410" s="66"/>
      <c r="E410" s="67"/>
      <c r="F410" s="57"/>
      <c r="G410" s="67"/>
      <c r="K410" s="20"/>
      <c r="L410" s="20"/>
      <c r="M410" s="227"/>
      <c r="N410" s="226"/>
    </row>
    <row r="411" spans="1:14" ht="19.5" hidden="1" outlineLevel="1" thickBot="1" x14ac:dyDescent="0.35">
      <c r="A411" s="149"/>
      <c r="B411" s="171">
        <v>46096</v>
      </c>
      <c r="C411" s="160">
        <v>80.225399999999993</v>
      </c>
      <c r="D411" s="66"/>
      <c r="E411" s="67"/>
      <c r="F411" s="57"/>
      <c r="G411" s="67"/>
      <c r="K411" s="20"/>
      <c r="L411" s="20"/>
      <c r="M411" s="227"/>
      <c r="N411" s="226"/>
    </row>
    <row r="412" spans="1:14" ht="19.5" hidden="1" outlineLevel="1" thickBot="1" x14ac:dyDescent="0.35">
      <c r="A412" s="149">
        <v>11</v>
      </c>
      <c r="B412" s="171">
        <v>46097</v>
      </c>
      <c r="C412" s="160">
        <v>80.225399999999993</v>
      </c>
      <c r="D412" s="66">
        <v>12759.5</v>
      </c>
      <c r="E412" s="67">
        <f t="shared" si="67"/>
        <v>1023635.9912999999</v>
      </c>
      <c r="F412" s="57">
        <v>3440</v>
      </c>
      <c r="G412" s="67">
        <f t="shared" si="68"/>
        <v>275975.37599999999</v>
      </c>
      <c r="K412" s="20"/>
      <c r="L412" s="20"/>
      <c r="M412" s="227"/>
      <c r="N412" s="226"/>
    </row>
    <row r="413" spans="1:14" ht="19.5" hidden="1" outlineLevel="1" thickBot="1" x14ac:dyDescent="0.35">
      <c r="A413" s="149">
        <v>12</v>
      </c>
      <c r="B413" s="171">
        <v>46098</v>
      </c>
      <c r="C413" s="160">
        <v>81.051699999999997</v>
      </c>
      <c r="D413" s="66">
        <v>12677</v>
      </c>
      <c r="E413" s="67">
        <f t="shared" si="67"/>
        <v>1027492.4009</v>
      </c>
      <c r="F413" s="57">
        <v>3426</v>
      </c>
      <c r="G413" s="67">
        <f t="shared" si="68"/>
        <v>277683.12419999996</v>
      </c>
      <c r="K413" s="20"/>
      <c r="L413" s="20"/>
      <c r="M413" s="227"/>
      <c r="N413" s="226"/>
    </row>
    <row r="414" spans="1:14" ht="19.5" hidden="1" outlineLevel="1" thickBot="1" x14ac:dyDescent="0.35">
      <c r="A414" s="149">
        <v>13</v>
      </c>
      <c r="B414" s="171">
        <v>46099</v>
      </c>
      <c r="C414" s="160">
        <v>81.910300000000007</v>
      </c>
      <c r="D414" s="66">
        <v>12503</v>
      </c>
      <c r="E414" s="67">
        <f t="shared" si="67"/>
        <v>1024124.4809000001</v>
      </c>
      <c r="F414" s="57">
        <v>3400</v>
      </c>
      <c r="G414" s="67">
        <f t="shared" si="68"/>
        <v>278495.02</v>
      </c>
      <c r="K414" s="20"/>
      <c r="L414" s="20"/>
      <c r="M414" s="227"/>
      <c r="N414" s="226"/>
    </row>
    <row r="415" spans="1:14" ht="19.5" hidden="1" outlineLevel="1" thickBot="1" x14ac:dyDescent="0.35">
      <c r="A415" s="149">
        <v>14</v>
      </c>
      <c r="B415" s="171">
        <v>46100</v>
      </c>
      <c r="C415" s="160">
        <v>83.125900000000001</v>
      </c>
      <c r="D415" s="66">
        <v>11826</v>
      </c>
      <c r="E415" s="67">
        <f t="shared" si="67"/>
        <v>983046.89340000006</v>
      </c>
      <c r="F415" s="57">
        <v>3200</v>
      </c>
      <c r="G415" s="67">
        <f t="shared" si="68"/>
        <v>266002.88</v>
      </c>
      <c r="K415" s="20"/>
      <c r="L415" s="20"/>
      <c r="M415" s="227"/>
      <c r="N415" s="226"/>
    </row>
    <row r="416" spans="1:14" ht="19.5" hidden="1" outlineLevel="1" thickBot="1" x14ac:dyDescent="0.35">
      <c r="A416" s="149">
        <v>15</v>
      </c>
      <c r="B416" s="171">
        <v>46101</v>
      </c>
      <c r="C416" s="160">
        <v>84.837900000000005</v>
      </c>
      <c r="D416" s="66">
        <v>12021.5</v>
      </c>
      <c r="E416" s="67">
        <f t="shared" si="67"/>
        <v>1019878.8148500001</v>
      </c>
      <c r="F416" s="57">
        <v>3329</v>
      </c>
      <c r="G416" s="67">
        <f t="shared" si="68"/>
        <v>282425.36910000001</v>
      </c>
      <c r="K416" s="20"/>
      <c r="L416" s="20"/>
      <c r="M416" s="227"/>
      <c r="N416" s="226"/>
    </row>
    <row r="417" spans="1:14" ht="19.5" hidden="1" outlineLevel="1" thickBot="1" x14ac:dyDescent="0.35">
      <c r="A417" s="149"/>
      <c r="B417" s="171">
        <v>46102</v>
      </c>
      <c r="C417" s="160">
        <v>83.998199999999997</v>
      </c>
      <c r="D417" s="66"/>
      <c r="E417" s="67"/>
      <c r="F417" s="57"/>
      <c r="G417" s="67"/>
      <c r="K417" s="20"/>
      <c r="L417" s="20"/>
      <c r="M417" s="227"/>
      <c r="N417" s="226"/>
    </row>
    <row r="418" spans="1:14" ht="19.5" hidden="1" outlineLevel="1" thickBot="1" x14ac:dyDescent="0.35">
      <c r="A418" s="149"/>
      <c r="B418" s="171">
        <v>46103</v>
      </c>
      <c r="C418" s="160">
        <v>83.998199999999997</v>
      </c>
      <c r="D418" s="66"/>
      <c r="E418" s="67"/>
      <c r="F418" s="57"/>
      <c r="G418" s="67"/>
      <c r="K418" s="20"/>
      <c r="L418" s="20"/>
      <c r="M418" s="227"/>
      <c r="N418" s="226"/>
    </row>
    <row r="419" spans="1:14" ht="19.5" hidden="1" outlineLevel="1" thickBot="1" x14ac:dyDescent="0.35">
      <c r="A419" s="149">
        <v>16</v>
      </c>
      <c r="B419" s="171">
        <v>46104</v>
      </c>
      <c r="C419" s="160">
        <v>83.998199999999997</v>
      </c>
      <c r="D419" s="66">
        <v>11891</v>
      </c>
      <c r="E419" s="67">
        <f t="shared" si="67"/>
        <v>998822.59619999991</v>
      </c>
      <c r="F419" s="57">
        <v>3251.5</v>
      </c>
      <c r="G419" s="67">
        <f t="shared" si="68"/>
        <v>273120.14730000001</v>
      </c>
      <c r="K419" s="20"/>
      <c r="L419" s="20"/>
      <c r="M419" s="227"/>
      <c r="N419" s="226"/>
    </row>
    <row r="420" spans="1:14" ht="19.5" hidden="1" outlineLevel="1" thickBot="1" x14ac:dyDescent="0.35">
      <c r="A420" s="149">
        <v>17</v>
      </c>
      <c r="B420" s="171">
        <v>46105</v>
      </c>
      <c r="C420" s="160">
        <v>81.876300000000001</v>
      </c>
      <c r="D420" s="66">
        <v>11878.5</v>
      </c>
      <c r="E420" s="67">
        <f t="shared" si="67"/>
        <v>972567.62954999995</v>
      </c>
      <c r="F420" s="57">
        <v>3242.5</v>
      </c>
      <c r="G420" s="67">
        <f t="shared" si="68"/>
        <v>265483.90275000001</v>
      </c>
      <c r="K420" s="20"/>
      <c r="L420" s="20"/>
      <c r="M420" s="227"/>
      <c r="N420" s="226"/>
    </row>
    <row r="421" spans="1:14" ht="19.5" hidden="1" outlineLevel="1" thickBot="1" x14ac:dyDescent="0.35">
      <c r="A421" s="149">
        <v>18</v>
      </c>
      <c r="B421" s="171">
        <v>46106</v>
      </c>
      <c r="C421" s="160">
        <v>80.960400000000007</v>
      </c>
      <c r="D421" s="66">
        <v>12135</v>
      </c>
      <c r="E421" s="67">
        <f t="shared" si="67"/>
        <v>982454.45400000014</v>
      </c>
      <c r="F421" s="57">
        <v>3294.5</v>
      </c>
      <c r="G421" s="67">
        <f t="shared" si="68"/>
        <v>266724.03780000005</v>
      </c>
      <c r="K421" s="20"/>
      <c r="L421" s="20"/>
      <c r="M421" s="227"/>
      <c r="N421" s="226"/>
    </row>
    <row r="422" spans="1:14" ht="19.5" hidden="1" outlineLevel="1" thickBot="1" x14ac:dyDescent="0.35">
      <c r="A422" s="149">
        <v>19</v>
      </c>
      <c r="B422" s="171">
        <v>46107</v>
      </c>
      <c r="C422" s="160">
        <v>80.719200000000001</v>
      </c>
      <c r="D422" s="66">
        <v>12018</v>
      </c>
      <c r="E422" s="67">
        <f t="shared" si="67"/>
        <v>970083.3456</v>
      </c>
      <c r="F422" s="57">
        <v>3332</v>
      </c>
      <c r="G422" s="67">
        <f t="shared" si="68"/>
        <v>268956.37440000003</v>
      </c>
      <c r="K422" s="20"/>
      <c r="L422" s="20"/>
      <c r="M422" s="227"/>
      <c r="N422" s="226"/>
    </row>
    <row r="423" spans="1:14" ht="19.5" hidden="1" outlineLevel="1" thickBot="1" x14ac:dyDescent="0.35">
      <c r="A423" s="149">
        <v>20</v>
      </c>
      <c r="B423" s="171">
        <v>46108</v>
      </c>
      <c r="C423" s="160">
        <v>82.131399999999999</v>
      </c>
      <c r="D423" s="66">
        <v>12046</v>
      </c>
      <c r="E423" s="67">
        <f t="shared" si="67"/>
        <v>989354.84439999994</v>
      </c>
      <c r="F423" s="57">
        <v>3292</v>
      </c>
      <c r="G423" s="67">
        <f t="shared" si="68"/>
        <v>270376.56880000001</v>
      </c>
      <c r="K423" s="20"/>
      <c r="L423" s="20"/>
      <c r="M423" s="227"/>
      <c r="N423" s="226"/>
    </row>
    <row r="424" spans="1:14" ht="19.5" hidden="1" outlineLevel="1" thickBot="1" x14ac:dyDescent="0.35">
      <c r="A424" s="149"/>
      <c r="B424" s="171">
        <v>46109</v>
      </c>
      <c r="C424" s="160">
        <v>81.144300000000001</v>
      </c>
      <c r="D424" s="66"/>
      <c r="E424" s="67"/>
      <c r="F424" s="57"/>
      <c r="G424" s="67"/>
      <c r="K424" s="20"/>
      <c r="L424" s="20"/>
      <c r="M424" s="227"/>
      <c r="N424" s="226"/>
    </row>
    <row r="425" spans="1:14" ht="19.5" hidden="1" outlineLevel="1" thickBot="1" x14ac:dyDescent="0.35">
      <c r="A425" s="149"/>
      <c r="B425" s="171">
        <v>46110</v>
      </c>
      <c r="C425" s="160">
        <v>81.144300000000001</v>
      </c>
      <c r="D425" s="66"/>
      <c r="E425" s="67">
        <f t="shared" ref="E425:E427" si="73">C425*D425</f>
        <v>0</v>
      </c>
      <c r="F425" s="57"/>
      <c r="G425" s="67">
        <f t="shared" ref="G425:G427" si="74">F425*C425</f>
        <v>0</v>
      </c>
      <c r="K425" s="20"/>
      <c r="L425" s="20"/>
      <c r="M425" s="227"/>
      <c r="N425" s="226"/>
    </row>
    <row r="426" spans="1:14" ht="19.5" hidden="1" outlineLevel="1" thickBot="1" x14ac:dyDescent="0.35">
      <c r="A426" s="149">
        <v>21</v>
      </c>
      <c r="B426" s="171">
        <v>46111</v>
      </c>
      <c r="C426" s="160">
        <v>81.144300000000001</v>
      </c>
      <c r="D426" s="66">
        <v>12137</v>
      </c>
      <c r="E426" s="67">
        <f t="shared" si="73"/>
        <v>984848.36910000001</v>
      </c>
      <c r="F426" s="57">
        <v>3482</v>
      </c>
      <c r="G426" s="67">
        <f t="shared" si="74"/>
        <v>282544.45260000002</v>
      </c>
      <c r="K426" s="20"/>
      <c r="L426" s="20"/>
      <c r="M426" s="227"/>
      <c r="N426" s="226"/>
    </row>
    <row r="427" spans="1:14" ht="19.5" hidden="1" outlineLevel="1" thickBot="1" x14ac:dyDescent="0.35">
      <c r="A427" s="150">
        <v>22</v>
      </c>
      <c r="B427" s="92">
        <v>46112</v>
      </c>
      <c r="C427" s="161">
        <v>81.295500000000004</v>
      </c>
      <c r="D427" s="70"/>
      <c r="E427" s="156">
        <f t="shared" si="73"/>
        <v>0</v>
      </c>
      <c r="F427" s="79"/>
      <c r="G427" s="156">
        <f t="shared" si="74"/>
        <v>0</v>
      </c>
      <c r="K427" s="20"/>
      <c r="L427" s="20"/>
      <c r="M427" s="227"/>
      <c r="N427" s="226"/>
    </row>
    <row r="428" spans="1:14" ht="19.5" hidden="1" outlineLevel="1" thickBot="1" x14ac:dyDescent="0.35">
      <c r="K428" s="20"/>
      <c r="L428" s="20"/>
      <c r="M428" s="227"/>
      <c r="N428" s="226"/>
    </row>
    <row r="429" spans="1:14" ht="24" collapsed="1" thickBot="1" x14ac:dyDescent="0.4">
      <c r="A429" s="268" t="s">
        <v>29</v>
      </c>
      <c r="B429" s="269"/>
      <c r="C429" s="80">
        <f>SUM(C430:C460)/30</f>
        <v>76.904666666666671</v>
      </c>
      <c r="D429" s="220">
        <f>SUM(D430:D460)/20</f>
        <v>12891.375</v>
      </c>
      <c r="E429" s="31">
        <f>SUM(E430:E460)/20</f>
        <v>986523.38323749998</v>
      </c>
      <c r="F429" s="220">
        <f>SUM(F430:F460)/20</f>
        <v>3600.625</v>
      </c>
      <c r="G429" s="75">
        <f>SUM(G430:G460)/20</f>
        <v>275655.59869750001</v>
      </c>
      <c r="H429" s="225"/>
      <c r="I429" s="25">
        <f>((D429-100)*C429*1.22+150000)/1000</f>
        <v>1350.1340453116668</v>
      </c>
      <c r="J429" s="25">
        <f>(F429*C429*1.22+100000)/1000</f>
        <v>437.82393580833332</v>
      </c>
      <c r="K429" s="20">
        <v>450</v>
      </c>
      <c r="L429" s="46">
        <f>(C429*(F429+500)+60000)*1.22/1000</f>
        <v>457.935782475</v>
      </c>
      <c r="M429" s="228">
        <f>E429*1.22/1000</f>
        <v>1203.5585275497499</v>
      </c>
      <c r="N429" s="229">
        <f>G429*1.22/1000</f>
        <v>336.29983041094999</v>
      </c>
    </row>
    <row r="430" spans="1:14" ht="18.75" hidden="1" outlineLevel="1" x14ac:dyDescent="0.3">
      <c r="A430" s="163">
        <v>1</v>
      </c>
      <c r="B430" s="90">
        <v>46113</v>
      </c>
      <c r="C430" s="230">
        <v>81.250399999999999</v>
      </c>
      <c r="D430" s="65">
        <v>12270</v>
      </c>
      <c r="E430" s="67">
        <f t="shared" ref="E430:E452" si="75">C430*D430</f>
        <v>996942.40799999994</v>
      </c>
      <c r="F430" s="77">
        <v>3583.5</v>
      </c>
      <c r="G430" s="67">
        <f t="shared" ref="G430:G460" si="76">F430*C430</f>
        <v>291160.80839999998</v>
      </c>
      <c r="K430" s="20"/>
      <c r="L430" s="20"/>
    </row>
    <row r="431" spans="1:14" ht="18.75" hidden="1" outlineLevel="1" x14ac:dyDescent="0.3">
      <c r="A431" s="149">
        <v>2</v>
      </c>
      <c r="B431" s="171">
        <v>46114</v>
      </c>
      <c r="C431" s="231">
        <v>80.623400000000004</v>
      </c>
      <c r="D431" s="66">
        <v>12147</v>
      </c>
      <c r="E431" s="67">
        <f t="shared" si="75"/>
        <v>979332.43980000005</v>
      </c>
      <c r="F431" s="57">
        <v>3505</v>
      </c>
      <c r="G431" s="67">
        <f t="shared" si="76"/>
        <v>282585.01699999999</v>
      </c>
      <c r="I431" s="24" t="s">
        <v>76</v>
      </c>
      <c r="K431" s="20"/>
      <c r="L431" s="20"/>
    </row>
    <row r="432" spans="1:14" ht="18.75" hidden="1" outlineLevel="1" x14ac:dyDescent="0.3">
      <c r="A432" s="149"/>
      <c r="B432" s="171">
        <v>46115</v>
      </c>
      <c r="C432" s="231">
        <v>80.333200000000005</v>
      </c>
      <c r="D432" s="66"/>
      <c r="E432" s="67">
        <f t="shared" si="75"/>
        <v>0</v>
      </c>
      <c r="F432" s="57"/>
      <c r="G432" s="67">
        <f t="shared" si="76"/>
        <v>0</v>
      </c>
      <c r="I432" s="24">
        <v>1320</v>
      </c>
      <c r="K432" s="20"/>
      <c r="L432" s="20"/>
    </row>
    <row r="433" spans="1:12" ht="18.75" hidden="1" outlineLevel="1" x14ac:dyDescent="0.3">
      <c r="A433" s="149"/>
      <c r="B433" s="171">
        <v>46116</v>
      </c>
      <c r="C433" s="230">
        <v>79.729299999999995</v>
      </c>
      <c r="D433" s="66"/>
      <c r="E433" s="67"/>
      <c r="F433" s="57"/>
      <c r="G433" s="67"/>
      <c r="K433" s="20"/>
      <c r="L433" s="20"/>
    </row>
    <row r="434" spans="1:12" ht="18.75" hidden="1" outlineLevel="1" x14ac:dyDescent="0.3">
      <c r="A434" s="149"/>
      <c r="B434" s="171">
        <v>46117</v>
      </c>
      <c r="C434" s="231">
        <v>79.729299999999995</v>
      </c>
      <c r="D434" s="66"/>
      <c r="E434" s="67"/>
      <c r="F434" s="57"/>
      <c r="G434" s="67"/>
      <c r="K434" s="20"/>
      <c r="L434" s="20"/>
    </row>
    <row r="435" spans="1:12" ht="18.75" hidden="1" outlineLevel="1" x14ac:dyDescent="0.3">
      <c r="A435" s="149"/>
      <c r="B435" s="171">
        <v>46118</v>
      </c>
      <c r="C435" s="230">
        <v>79.729299999999995</v>
      </c>
      <c r="D435" s="66"/>
      <c r="E435" s="67">
        <f t="shared" si="75"/>
        <v>0</v>
      </c>
      <c r="F435" s="57"/>
      <c r="G435" s="67">
        <f t="shared" si="76"/>
        <v>0</v>
      </c>
      <c r="K435" s="20"/>
      <c r="L435" s="20"/>
    </row>
    <row r="436" spans="1:12" ht="18.75" hidden="1" outlineLevel="1" x14ac:dyDescent="0.3">
      <c r="A436" s="149">
        <v>3</v>
      </c>
      <c r="B436" s="171">
        <v>46119</v>
      </c>
      <c r="C436" s="160">
        <f>78.7277</f>
        <v>78.727699999999999</v>
      </c>
      <c r="D436" s="66">
        <v>12252</v>
      </c>
      <c r="E436" s="67">
        <f t="shared" si="75"/>
        <v>964571.78039999993</v>
      </c>
      <c r="F436" s="57">
        <v>3600</v>
      </c>
      <c r="G436" s="67">
        <f t="shared" si="76"/>
        <v>283419.71999999997</v>
      </c>
      <c r="K436" s="20"/>
      <c r="L436" s="20"/>
    </row>
    <row r="437" spans="1:12" ht="18.75" hidden="1" outlineLevel="1" x14ac:dyDescent="0.3">
      <c r="A437" s="149">
        <v>4</v>
      </c>
      <c r="B437" s="171">
        <v>46120</v>
      </c>
      <c r="C437" s="231">
        <v>78.749600000000001</v>
      </c>
      <c r="D437" s="66">
        <v>12552</v>
      </c>
      <c r="E437" s="67">
        <f t="shared" si="75"/>
        <v>988464.97920000006</v>
      </c>
      <c r="F437" s="57">
        <v>3520</v>
      </c>
      <c r="G437" s="67">
        <f t="shared" si="76"/>
        <v>277198.592</v>
      </c>
      <c r="K437" s="20"/>
      <c r="L437" s="20"/>
    </row>
    <row r="438" spans="1:12" ht="18.75" hidden="1" outlineLevel="1" x14ac:dyDescent="0.3">
      <c r="A438" s="149">
        <v>5</v>
      </c>
      <c r="B438" s="171">
        <v>46121</v>
      </c>
      <c r="C438" s="230">
        <v>78.304299999999998</v>
      </c>
      <c r="D438" s="66">
        <v>12455</v>
      </c>
      <c r="E438" s="67">
        <f t="shared" si="75"/>
        <v>975280.05649999995</v>
      </c>
      <c r="F438" s="57">
        <v>3494.5</v>
      </c>
      <c r="G438" s="67">
        <f t="shared" si="76"/>
        <v>273634.37634999998</v>
      </c>
      <c r="K438" s="20"/>
      <c r="L438" s="20"/>
    </row>
    <row r="439" spans="1:12" ht="18.75" hidden="1" outlineLevel="1" x14ac:dyDescent="0.3">
      <c r="A439" s="149">
        <v>6</v>
      </c>
      <c r="B439" s="171">
        <v>46122</v>
      </c>
      <c r="C439" s="160">
        <v>77.836600000000004</v>
      </c>
      <c r="D439" s="66">
        <v>12660.5</v>
      </c>
      <c r="E439" s="67">
        <f t="shared" si="75"/>
        <v>985450.27430000005</v>
      </c>
      <c r="F439" s="57">
        <v>3526</v>
      </c>
      <c r="G439" s="67">
        <f t="shared" si="76"/>
        <v>274451.85159999999</v>
      </c>
      <c r="K439" s="20"/>
      <c r="L439" s="20"/>
    </row>
    <row r="440" spans="1:12" ht="18.75" hidden="1" outlineLevel="1" x14ac:dyDescent="0.3">
      <c r="A440" s="149"/>
      <c r="B440" s="171">
        <v>46123</v>
      </c>
      <c r="C440" s="160">
        <v>76.972399999999993</v>
      </c>
      <c r="D440" s="66"/>
      <c r="E440" s="67"/>
      <c r="F440" s="57"/>
      <c r="G440" s="67"/>
      <c r="K440" s="20"/>
      <c r="L440" s="20"/>
    </row>
    <row r="441" spans="1:12" ht="18.75" hidden="1" outlineLevel="1" x14ac:dyDescent="0.3">
      <c r="A441" s="149"/>
      <c r="B441" s="171">
        <v>46124</v>
      </c>
      <c r="C441" s="160">
        <v>76.972399999999993</v>
      </c>
      <c r="D441" s="66"/>
      <c r="E441" s="67"/>
      <c r="F441" s="57"/>
      <c r="G441" s="67"/>
      <c r="K441" s="20"/>
      <c r="L441" s="20"/>
    </row>
    <row r="442" spans="1:12" ht="18.75" hidden="1" outlineLevel="1" x14ac:dyDescent="0.3">
      <c r="A442" s="149">
        <v>7</v>
      </c>
      <c r="B442" s="171">
        <v>46125</v>
      </c>
      <c r="C442" s="160">
        <v>76.972399999999993</v>
      </c>
      <c r="D442" s="66">
        <v>12820.5</v>
      </c>
      <c r="E442" s="67">
        <f t="shared" si="75"/>
        <v>986824.65419999987</v>
      </c>
      <c r="F442" s="57">
        <v>3665.5</v>
      </c>
      <c r="G442" s="67">
        <f t="shared" si="76"/>
        <v>282142.3322</v>
      </c>
      <c r="K442" s="20"/>
      <c r="L442" s="20"/>
    </row>
    <row r="443" spans="1:12" ht="18.75" hidden="1" outlineLevel="1" x14ac:dyDescent="0.3">
      <c r="A443" s="149">
        <v>8</v>
      </c>
      <c r="B443" s="171">
        <v>46126</v>
      </c>
      <c r="C443" s="160">
        <v>76.248900000000006</v>
      </c>
      <c r="D443" s="66">
        <v>13095</v>
      </c>
      <c r="E443" s="67">
        <f t="shared" si="75"/>
        <v>998479.34550000005</v>
      </c>
      <c r="F443" s="57">
        <v>3625</v>
      </c>
      <c r="G443" s="67">
        <f t="shared" si="76"/>
        <v>276402.26250000001</v>
      </c>
      <c r="K443" s="20"/>
      <c r="L443" s="20"/>
    </row>
    <row r="444" spans="1:12" ht="18.75" hidden="1" outlineLevel="1" x14ac:dyDescent="0.3">
      <c r="A444" s="149">
        <v>9</v>
      </c>
      <c r="B444" s="171">
        <v>46127</v>
      </c>
      <c r="C444" s="230">
        <v>75.853200000000001</v>
      </c>
      <c r="D444" s="66">
        <v>13155</v>
      </c>
      <c r="E444" s="67">
        <f t="shared" si="75"/>
        <v>997848.84600000002</v>
      </c>
      <c r="F444" s="57">
        <v>3581</v>
      </c>
      <c r="G444" s="67">
        <f t="shared" si="76"/>
        <v>271630.30920000002</v>
      </c>
      <c r="K444" s="20"/>
      <c r="L444" s="20"/>
    </row>
    <row r="445" spans="1:12" ht="18.75" hidden="1" outlineLevel="1" x14ac:dyDescent="0.3">
      <c r="A445" s="149">
        <v>10</v>
      </c>
      <c r="B445" s="171">
        <v>46128</v>
      </c>
      <c r="C445" s="231">
        <v>75.2346</v>
      </c>
      <c r="D445" s="66">
        <v>13180</v>
      </c>
      <c r="E445" s="67">
        <f t="shared" si="75"/>
        <v>991592.02800000005</v>
      </c>
      <c r="F445" s="57">
        <v>3678.5</v>
      </c>
      <c r="G445" s="67">
        <f t="shared" si="76"/>
        <v>276750.47610000003</v>
      </c>
      <c r="K445" s="20"/>
      <c r="L445" s="20"/>
    </row>
    <row r="446" spans="1:12" ht="18.75" hidden="1" outlineLevel="1" x14ac:dyDescent="0.3">
      <c r="A446" s="149">
        <v>11</v>
      </c>
      <c r="B446" s="171">
        <v>46129</v>
      </c>
      <c r="C446" s="230">
        <v>76.086100000000002</v>
      </c>
      <c r="D446" s="66">
        <v>13149</v>
      </c>
      <c r="E446" s="67">
        <f t="shared" si="75"/>
        <v>1000456.1289</v>
      </c>
      <c r="F446" s="57">
        <v>3660</v>
      </c>
      <c r="G446" s="67">
        <f t="shared" si="76"/>
        <v>278475.12599999999</v>
      </c>
      <c r="K446" s="20"/>
      <c r="L446" s="20"/>
    </row>
    <row r="447" spans="1:12" ht="18.75" hidden="1" outlineLevel="1" x14ac:dyDescent="0.3">
      <c r="A447" s="149"/>
      <c r="B447" s="171">
        <v>46130</v>
      </c>
      <c r="C447" s="160">
        <v>76.0535</v>
      </c>
      <c r="D447" s="66"/>
      <c r="E447" s="67"/>
      <c r="F447" s="57"/>
      <c r="G447" s="67"/>
      <c r="K447" s="20"/>
      <c r="L447" s="20"/>
    </row>
    <row r="448" spans="1:12" ht="18.75" hidden="1" outlineLevel="1" x14ac:dyDescent="0.3">
      <c r="A448" s="149"/>
      <c r="B448" s="171">
        <v>46131</v>
      </c>
      <c r="C448" s="230">
        <v>75.0535</v>
      </c>
      <c r="D448" s="66"/>
      <c r="E448" s="67"/>
      <c r="F448" s="57"/>
      <c r="G448" s="67"/>
      <c r="K448" s="20"/>
      <c r="L448" s="20"/>
    </row>
    <row r="449" spans="1:14" ht="18.75" hidden="1" outlineLevel="1" x14ac:dyDescent="0.3">
      <c r="A449" s="149">
        <v>12</v>
      </c>
      <c r="B449" s="171">
        <v>46132</v>
      </c>
      <c r="C449" s="231">
        <v>76.0535</v>
      </c>
      <c r="D449" s="66">
        <v>13163</v>
      </c>
      <c r="E449" s="67">
        <f t="shared" si="75"/>
        <v>1001092.2204999999</v>
      </c>
      <c r="F449" s="57">
        <v>3590</v>
      </c>
      <c r="G449" s="67">
        <f t="shared" si="76"/>
        <v>273032.065</v>
      </c>
      <c r="K449" s="20"/>
      <c r="L449" s="20"/>
    </row>
    <row r="450" spans="1:14" ht="18.75" hidden="1" outlineLevel="1" x14ac:dyDescent="0.3">
      <c r="A450" s="149">
        <v>13</v>
      </c>
      <c r="B450" s="171">
        <v>46133</v>
      </c>
      <c r="C450" s="230">
        <v>75.236999999999995</v>
      </c>
      <c r="D450" s="66">
        <v>13200.5</v>
      </c>
      <c r="E450" s="67">
        <f t="shared" si="75"/>
        <v>993166.01849999989</v>
      </c>
      <c r="F450" s="57">
        <v>3613</v>
      </c>
      <c r="G450" s="67">
        <f t="shared" si="76"/>
        <v>271831.28099999996</v>
      </c>
      <c r="K450" s="20"/>
      <c r="L450" s="20"/>
    </row>
    <row r="451" spans="1:14" ht="18.75" hidden="1" outlineLevel="1" x14ac:dyDescent="0.3">
      <c r="A451" s="149">
        <v>14</v>
      </c>
      <c r="B451" s="171">
        <v>46134</v>
      </c>
      <c r="C451" s="231">
        <v>74.589699999999993</v>
      </c>
      <c r="D451" s="66">
        <v>13198</v>
      </c>
      <c r="E451" s="67">
        <f t="shared" si="75"/>
        <v>984434.8605999999</v>
      </c>
      <c r="F451" s="57">
        <v>3652</v>
      </c>
      <c r="G451" s="67">
        <f t="shared" si="76"/>
        <v>272401.58439999999</v>
      </c>
      <c r="K451" s="20"/>
      <c r="L451" s="20"/>
    </row>
    <row r="452" spans="1:14" ht="18.75" hidden="1" outlineLevel="1" x14ac:dyDescent="0.3">
      <c r="A452" s="149">
        <v>15</v>
      </c>
      <c r="B452" s="171">
        <v>46135</v>
      </c>
      <c r="C452" s="230">
        <v>74.999499999999998</v>
      </c>
      <c r="D452" s="66">
        <v>13190</v>
      </c>
      <c r="E452" s="67">
        <f t="shared" si="75"/>
        <v>989243.40499999991</v>
      </c>
      <c r="F452" s="57">
        <v>3642</v>
      </c>
      <c r="G452" s="67">
        <f t="shared" si="76"/>
        <v>273148.179</v>
      </c>
      <c r="K452" s="20"/>
      <c r="L452" s="20"/>
    </row>
    <row r="453" spans="1:14" ht="18.75" hidden="1" outlineLevel="1" x14ac:dyDescent="0.3">
      <c r="A453" s="149">
        <v>16</v>
      </c>
      <c r="B453" s="171">
        <v>46136</v>
      </c>
      <c r="C453" s="231">
        <v>74.834900000000005</v>
      </c>
      <c r="D453" s="66">
        <v>13230</v>
      </c>
      <c r="E453" s="67">
        <f t="shared" ref="E453:E460" si="77">C453*D453</f>
        <v>990065.72700000007</v>
      </c>
      <c r="F453" s="57">
        <v>3685</v>
      </c>
      <c r="G453" s="67">
        <f t="shared" si="76"/>
        <v>275766.60649999999</v>
      </c>
      <c r="K453" s="20"/>
      <c r="L453" s="20"/>
    </row>
    <row r="454" spans="1:14" ht="18.75" hidden="1" outlineLevel="1" x14ac:dyDescent="0.3">
      <c r="A454" s="149"/>
      <c r="B454" s="171">
        <v>46137</v>
      </c>
      <c r="C454" s="230">
        <v>75.527299999999997</v>
      </c>
      <c r="D454" s="66"/>
      <c r="E454" s="67"/>
      <c r="F454" s="57"/>
      <c r="G454" s="67"/>
      <c r="K454" s="20"/>
      <c r="L454" s="20"/>
    </row>
    <row r="455" spans="1:14" ht="18.75" hidden="1" outlineLevel="1" x14ac:dyDescent="0.3">
      <c r="A455" s="149"/>
      <c r="B455" s="171">
        <v>46138</v>
      </c>
      <c r="C455" s="231">
        <v>75.527299999999997</v>
      </c>
      <c r="D455" s="66"/>
      <c r="E455" s="67"/>
      <c r="F455" s="57"/>
      <c r="G455" s="67"/>
      <c r="K455" s="20"/>
      <c r="L455" s="20"/>
    </row>
    <row r="456" spans="1:14" ht="18.75" hidden="1" outlineLevel="1" x14ac:dyDescent="0.3">
      <c r="A456" s="149">
        <v>17</v>
      </c>
      <c r="B456" s="171">
        <v>46139</v>
      </c>
      <c r="C456" s="231">
        <v>75.527299999999997</v>
      </c>
      <c r="D456" s="66">
        <v>13212</v>
      </c>
      <c r="E456" s="67">
        <f t="shared" si="77"/>
        <v>997866.68759999995</v>
      </c>
      <c r="F456" s="57">
        <v>3662</v>
      </c>
      <c r="G456" s="67">
        <f t="shared" si="76"/>
        <v>276580.97259999998</v>
      </c>
      <c r="K456" s="20"/>
      <c r="L456" s="20"/>
    </row>
    <row r="457" spans="1:14" ht="18.75" hidden="1" outlineLevel="1" x14ac:dyDescent="0.3">
      <c r="A457" s="149">
        <v>18</v>
      </c>
      <c r="B457" s="171">
        <v>46140</v>
      </c>
      <c r="C457" s="230">
        <v>74.808099999999996</v>
      </c>
      <c r="D457" s="66">
        <v>12890.5</v>
      </c>
      <c r="E457" s="67">
        <f t="shared" si="77"/>
        <v>964313.81305</v>
      </c>
      <c r="F457" s="57">
        <v>3600</v>
      </c>
      <c r="G457" s="67">
        <f t="shared" si="76"/>
        <v>269309.15999999997</v>
      </c>
      <c r="K457" s="20"/>
      <c r="L457" s="20"/>
    </row>
    <row r="458" spans="1:14" ht="18.75" hidden="1" outlineLevel="1" x14ac:dyDescent="0.3">
      <c r="A458" s="149">
        <v>19</v>
      </c>
      <c r="B458" s="171">
        <v>46141</v>
      </c>
      <c r="C458" s="160">
        <v>74.694699999999997</v>
      </c>
      <c r="D458" s="66">
        <v>12992</v>
      </c>
      <c r="E458" s="67">
        <f t="shared" si="77"/>
        <v>970433.54239999992</v>
      </c>
      <c r="F458" s="57">
        <v>3604</v>
      </c>
      <c r="G458" s="67">
        <f t="shared" si="76"/>
        <v>269199.69880000001</v>
      </c>
      <c r="K458" s="20"/>
      <c r="L458" s="20"/>
    </row>
    <row r="459" spans="1:14" ht="18.75" hidden="1" outlineLevel="1" x14ac:dyDescent="0.3">
      <c r="A459" s="149">
        <v>20</v>
      </c>
      <c r="B459" s="171">
        <v>46142</v>
      </c>
      <c r="C459" s="242">
        <v>74.880600000000001</v>
      </c>
      <c r="D459" s="66">
        <v>13015.5</v>
      </c>
      <c r="E459" s="67">
        <f t="shared" si="77"/>
        <v>974608.44929999998</v>
      </c>
      <c r="F459" s="57">
        <v>3525.5</v>
      </c>
      <c r="G459" s="67">
        <f t="shared" si="76"/>
        <v>263991.55530000001</v>
      </c>
      <c r="K459" s="20"/>
      <c r="L459" s="20"/>
    </row>
    <row r="460" spans="1:14" ht="19.5" hidden="1" outlineLevel="1" thickBot="1" x14ac:dyDescent="0.35">
      <c r="A460" s="150"/>
      <c r="B460" s="92"/>
      <c r="C460" s="161"/>
      <c r="D460" s="70"/>
      <c r="E460" s="156">
        <f t="shared" si="77"/>
        <v>0</v>
      </c>
      <c r="F460" s="79"/>
      <c r="G460" s="156">
        <f t="shared" si="76"/>
        <v>0</v>
      </c>
      <c r="K460" s="20"/>
      <c r="L460" s="20"/>
    </row>
    <row r="461" spans="1:14" ht="19.5" hidden="1" outlineLevel="1" thickBot="1" x14ac:dyDescent="0.35">
      <c r="K461" s="20"/>
      <c r="L461" s="20"/>
    </row>
    <row r="462" spans="1:14" ht="24" collapsed="1" thickBot="1" x14ac:dyDescent="0.4">
      <c r="A462" s="268" t="s">
        <v>35</v>
      </c>
      <c r="B462" s="269"/>
      <c r="C462" s="80">
        <f>SUM(C463:C493)/31</f>
        <v>70.647906451612897</v>
      </c>
      <c r="D462" s="220">
        <f>SUM(D463:D493)/19</f>
        <v>13507.131578947368</v>
      </c>
      <c r="E462" s="31">
        <f>SUM(E463:E493)/19</f>
        <v>986831.88354473701</v>
      </c>
      <c r="F462" s="220">
        <f>SUM(F463:F493)/19</f>
        <v>3670.1842105263158</v>
      </c>
      <c r="G462" s="75">
        <f>SUM(G463:G493)/19</f>
        <v>268094.4060447368</v>
      </c>
      <c r="H462" s="225"/>
      <c r="I462" s="25">
        <f>((D462-100)*C462*1.22+150000)/1000</f>
        <v>1305.5666486402054</v>
      </c>
      <c r="J462" s="25">
        <f>((F462+650)*C462*1.22+70000)/1000</f>
        <v>442.3586033499779</v>
      </c>
      <c r="K462" s="20">
        <v>430</v>
      </c>
      <c r="L462" s="46">
        <f>(C462*(F462+600)+70000)*1.22/1000</f>
        <v>453.44908105642946</v>
      </c>
      <c r="M462" s="228">
        <f>E462*1.22/1000</f>
        <v>1203.9348979245792</v>
      </c>
      <c r="N462" s="229">
        <f>G462*1.22/1000</f>
        <v>327.07517537457886</v>
      </c>
    </row>
    <row r="463" spans="1:14" hidden="1" outlineLevel="1" x14ac:dyDescent="0.25">
      <c r="A463" s="163">
        <v>1</v>
      </c>
      <c r="B463" s="90">
        <v>46143</v>
      </c>
      <c r="C463" s="235">
        <v>74.801400000000001</v>
      </c>
      <c r="D463" s="65">
        <v>12895</v>
      </c>
      <c r="E463" s="67">
        <f t="shared" ref="E463:E465" si="78">C463*D463</f>
        <v>964564.05299999996</v>
      </c>
      <c r="F463" s="77">
        <v>3584</v>
      </c>
      <c r="G463" s="67">
        <f t="shared" ref="G463:G465" si="79">F463*C463</f>
        <v>268088.21759999997</v>
      </c>
    </row>
    <row r="464" spans="1:14" hidden="1" outlineLevel="1" x14ac:dyDescent="0.25">
      <c r="A464" s="149"/>
      <c r="B464" s="171">
        <v>46144</v>
      </c>
      <c r="C464" s="236">
        <v>74.801400000000001</v>
      </c>
      <c r="D464" s="66"/>
      <c r="E464" s="67">
        <f t="shared" si="78"/>
        <v>0</v>
      </c>
      <c r="F464" s="57"/>
      <c r="G464" s="67">
        <f t="shared" si="79"/>
        <v>0</v>
      </c>
    </row>
    <row r="465" spans="1:7" hidden="1" outlineLevel="1" x14ac:dyDescent="0.25">
      <c r="A465" s="149"/>
      <c r="B465" s="171">
        <v>46145</v>
      </c>
      <c r="C465" s="236">
        <v>74.801400000000001</v>
      </c>
      <c r="D465" s="66"/>
      <c r="E465" s="67">
        <f t="shared" si="78"/>
        <v>0</v>
      </c>
      <c r="F465" s="57"/>
      <c r="G465" s="67">
        <f t="shared" si="79"/>
        <v>0</v>
      </c>
    </row>
    <row r="466" spans="1:7" hidden="1" outlineLevel="1" x14ac:dyDescent="0.25">
      <c r="A466" s="149"/>
      <c r="B466" s="171">
        <v>46146</v>
      </c>
      <c r="C466" s="236">
        <v>74.801400000000001</v>
      </c>
      <c r="D466" s="66"/>
      <c r="E466" s="67">
        <f t="shared" ref="E466:E489" si="80">C466*D466</f>
        <v>0</v>
      </c>
      <c r="F466" s="57"/>
      <c r="G466" s="67">
        <f t="shared" ref="G466:G489" si="81">F466*C466</f>
        <v>0</v>
      </c>
    </row>
    <row r="467" spans="1:7" hidden="1" outlineLevel="1" x14ac:dyDescent="0.25">
      <c r="A467" s="149">
        <v>2</v>
      </c>
      <c r="B467" s="171">
        <v>46147</v>
      </c>
      <c r="C467" s="236">
        <v>75.438800000000001</v>
      </c>
      <c r="D467" s="66">
        <v>12970</v>
      </c>
      <c r="E467" s="67">
        <f t="shared" si="80"/>
        <v>978441.23600000003</v>
      </c>
      <c r="F467" s="57">
        <v>3632.5</v>
      </c>
      <c r="G467" s="67">
        <f t="shared" si="81"/>
        <v>274031.44099999999</v>
      </c>
    </row>
    <row r="468" spans="1:7" hidden="1" outlineLevel="1" x14ac:dyDescent="0.25">
      <c r="A468" s="149">
        <v>3</v>
      </c>
      <c r="B468" s="171">
        <v>46148</v>
      </c>
      <c r="C468" s="237">
        <v>75.344800000000006</v>
      </c>
      <c r="D468" s="66">
        <v>13351.5</v>
      </c>
      <c r="E468" s="67">
        <f t="shared" si="80"/>
        <v>1005966.0972000001</v>
      </c>
      <c r="F468" s="57">
        <v>3597</v>
      </c>
      <c r="G468" s="67">
        <f t="shared" si="81"/>
        <v>271015.24560000002</v>
      </c>
    </row>
    <row r="469" spans="1:7" hidden="1" outlineLevel="1" x14ac:dyDescent="0.25">
      <c r="A469" s="149">
        <v>4</v>
      </c>
      <c r="B469" s="171">
        <v>46149</v>
      </c>
      <c r="C469" s="232">
        <v>75.224599999999995</v>
      </c>
      <c r="D469" s="66">
        <v>13326</v>
      </c>
      <c r="E469" s="67">
        <f t="shared" si="80"/>
        <v>1002443.0195999999</v>
      </c>
      <c r="F469" s="57">
        <v>3559</v>
      </c>
      <c r="G469" s="67">
        <f t="shared" si="81"/>
        <v>267724.35139999999</v>
      </c>
    </row>
    <row r="470" spans="1:7" hidden="1" outlineLevel="1" x14ac:dyDescent="0.25">
      <c r="A470" s="149">
        <v>5</v>
      </c>
      <c r="B470" s="171">
        <v>46150</v>
      </c>
      <c r="C470" s="235">
        <v>74.620900000000006</v>
      </c>
      <c r="D470" s="66">
        <v>13445</v>
      </c>
      <c r="E470" s="67">
        <f t="shared" si="80"/>
        <v>1003278.0005000001</v>
      </c>
      <c r="F470" s="57">
        <v>3560.5</v>
      </c>
      <c r="G470" s="67">
        <f t="shared" si="81"/>
        <v>265687.71445000003</v>
      </c>
    </row>
    <row r="471" spans="1:7" hidden="1" outlineLevel="1" x14ac:dyDescent="0.25">
      <c r="A471" s="149"/>
      <c r="B471" s="171">
        <v>46151</v>
      </c>
      <c r="C471" s="236">
        <v>74.296300000000002</v>
      </c>
      <c r="D471" s="66"/>
      <c r="E471" s="67"/>
      <c r="F471" s="57"/>
      <c r="G471" s="67"/>
    </row>
    <row r="472" spans="1:7" hidden="1" outlineLevel="1" x14ac:dyDescent="0.25">
      <c r="A472" s="149"/>
      <c r="B472" s="171">
        <v>46152</v>
      </c>
      <c r="C472" s="233">
        <v>74.296300000000002</v>
      </c>
      <c r="D472" s="66"/>
      <c r="E472" s="67"/>
      <c r="F472" s="57"/>
      <c r="G472" s="67"/>
    </row>
    <row r="473" spans="1:7" hidden="1" outlineLevel="1" x14ac:dyDescent="0.25">
      <c r="A473" s="149">
        <v>6</v>
      </c>
      <c r="B473" s="171">
        <v>46153</v>
      </c>
      <c r="C473" s="233">
        <v>74.296300000000002</v>
      </c>
      <c r="D473" s="66">
        <v>13673</v>
      </c>
      <c r="E473" s="67">
        <f t="shared" si="80"/>
        <v>1015853.3099</v>
      </c>
      <c r="F473" s="57">
        <v>3655</v>
      </c>
      <c r="G473" s="67">
        <f t="shared" si="81"/>
        <v>271552.97649999999</v>
      </c>
    </row>
    <row r="474" spans="1:7" hidden="1" outlineLevel="1" x14ac:dyDescent="0.25">
      <c r="A474" s="149">
        <v>7</v>
      </c>
      <c r="B474" s="171">
        <v>46154</v>
      </c>
      <c r="C474" s="237">
        <v>74.296300000000002</v>
      </c>
      <c r="D474" s="66">
        <v>13872</v>
      </c>
      <c r="E474" s="67">
        <f t="shared" si="80"/>
        <v>1030638.2736000001</v>
      </c>
      <c r="F474" s="57">
        <v>3639.5</v>
      </c>
      <c r="G474" s="67">
        <f t="shared" si="81"/>
        <v>270401.38384999998</v>
      </c>
    </row>
    <row r="475" spans="1:7" hidden="1" outlineLevel="1" x14ac:dyDescent="0.25">
      <c r="A475" s="149">
        <v>8</v>
      </c>
      <c r="B475" s="171">
        <v>46155</v>
      </c>
      <c r="C475" s="238">
        <v>73.787800000000004</v>
      </c>
      <c r="D475" s="66">
        <v>14097</v>
      </c>
      <c r="E475" s="67">
        <f t="shared" si="80"/>
        <v>1040186.6166000001</v>
      </c>
      <c r="F475" s="57">
        <v>3729.5</v>
      </c>
      <c r="G475" s="67">
        <f t="shared" si="81"/>
        <v>275191.60010000004</v>
      </c>
    </row>
    <row r="476" spans="1:7" hidden="1" outlineLevel="1" x14ac:dyDescent="0.25">
      <c r="A476" s="149">
        <v>9</v>
      </c>
      <c r="B476" s="171">
        <v>46156</v>
      </c>
      <c r="C476" s="235">
        <v>73.341999999999999</v>
      </c>
      <c r="D476" s="66">
        <v>13986</v>
      </c>
      <c r="E476" s="67">
        <f t="shared" si="80"/>
        <v>1025761.2119999999</v>
      </c>
      <c r="F476" s="57">
        <v>3768</v>
      </c>
      <c r="G476" s="67">
        <f t="shared" si="81"/>
        <v>276352.65600000002</v>
      </c>
    </row>
    <row r="477" spans="1:7" hidden="1" outlineLevel="1" x14ac:dyDescent="0.25">
      <c r="A477" s="149">
        <v>10</v>
      </c>
      <c r="B477" s="171">
        <v>46157</v>
      </c>
      <c r="C477" s="232">
        <v>73.138499999999993</v>
      </c>
      <c r="D477" s="66">
        <v>13553.5</v>
      </c>
      <c r="E477" s="67">
        <f t="shared" si="80"/>
        <v>991282.65974999988</v>
      </c>
      <c r="F477" s="57">
        <v>3635</v>
      </c>
      <c r="G477" s="67">
        <f t="shared" si="81"/>
        <v>265858.44749999995</v>
      </c>
    </row>
    <row r="478" spans="1:7" hidden="1" outlineLevel="1" x14ac:dyDescent="0.25">
      <c r="A478" s="149"/>
      <c r="B478" s="171">
        <v>46158</v>
      </c>
      <c r="C478" s="239">
        <v>73.127499999999998</v>
      </c>
      <c r="D478" s="66"/>
      <c r="E478" s="67"/>
      <c r="F478" s="57"/>
      <c r="G478" s="67"/>
    </row>
    <row r="479" spans="1:7" hidden="1" outlineLevel="1" x14ac:dyDescent="0.25">
      <c r="A479" s="149"/>
      <c r="B479" s="171">
        <v>46159</v>
      </c>
      <c r="C479" s="234" t="s">
        <v>77</v>
      </c>
      <c r="D479" s="66"/>
      <c r="E479" s="67"/>
      <c r="F479" s="57"/>
      <c r="G479" s="67"/>
    </row>
    <row r="480" spans="1:7" hidden="1" outlineLevel="1" x14ac:dyDescent="0.25">
      <c r="A480" s="149">
        <v>11</v>
      </c>
      <c r="B480" s="171">
        <v>46160</v>
      </c>
      <c r="C480" s="232">
        <v>73.127499999999998</v>
      </c>
      <c r="D480" s="66">
        <v>13428</v>
      </c>
      <c r="E480" s="67">
        <f t="shared" si="80"/>
        <v>981956.07</v>
      </c>
      <c r="F480" s="57">
        <v>3637</v>
      </c>
      <c r="G480" s="67">
        <f t="shared" si="81"/>
        <v>265964.71749999997</v>
      </c>
    </row>
    <row r="481" spans="1:15" hidden="1" outlineLevel="1" x14ac:dyDescent="0.25">
      <c r="A481" s="149">
        <v>12</v>
      </c>
      <c r="B481" s="171">
        <v>46161</v>
      </c>
      <c r="C481" s="232">
        <v>72.349699999999999</v>
      </c>
      <c r="D481" s="66">
        <v>13410</v>
      </c>
      <c r="E481" s="67">
        <f t="shared" si="80"/>
        <v>970209.47699999996</v>
      </c>
      <c r="F481" s="57">
        <v>3665</v>
      </c>
      <c r="G481" s="67">
        <f t="shared" si="81"/>
        <v>265161.65049999999</v>
      </c>
    </row>
    <row r="482" spans="1:15" hidden="1" outlineLevel="1" x14ac:dyDescent="0.25">
      <c r="A482" s="149">
        <v>13</v>
      </c>
      <c r="B482" s="171">
        <v>46162</v>
      </c>
      <c r="C482" s="230">
        <v>71.292599999999993</v>
      </c>
      <c r="D482" s="66">
        <v>13418</v>
      </c>
      <c r="E482" s="67">
        <f t="shared" si="80"/>
        <v>956604.10679999995</v>
      </c>
      <c r="F482" s="57">
        <v>3644</v>
      </c>
      <c r="G482" s="67">
        <f t="shared" si="81"/>
        <v>259790.23439999999</v>
      </c>
    </row>
    <row r="483" spans="1:15" hidden="1" outlineLevel="1" x14ac:dyDescent="0.25">
      <c r="A483" s="149">
        <v>14</v>
      </c>
      <c r="B483" s="171">
        <v>46163</v>
      </c>
      <c r="C483" s="160">
        <v>70.950900000000004</v>
      </c>
      <c r="D483" s="66">
        <v>13427</v>
      </c>
      <c r="E483" s="67">
        <f t="shared" si="80"/>
        <v>952657.73430000001</v>
      </c>
      <c r="F483" s="57">
        <v>3720</v>
      </c>
      <c r="G483" s="67">
        <f t="shared" si="81"/>
        <v>263937.348</v>
      </c>
    </row>
    <row r="484" spans="1:15" hidden="1" outlineLevel="1" x14ac:dyDescent="0.25">
      <c r="A484" s="149">
        <v>15</v>
      </c>
      <c r="B484" s="171">
        <v>46164</v>
      </c>
      <c r="C484" s="160">
        <v>70.790199999999999</v>
      </c>
      <c r="D484" s="66">
        <v>13545</v>
      </c>
      <c r="E484" s="67">
        <f t="shared" si="80"/>
        <v>958853.25899999996</v>
      </c>
      <c r="F484" s="57">
        <v>3706</v>
      </c>
      <c r="G484" s="67">
        <f t="shared" si="81"/>
        <v>262348.48119999998</v>
      </c>
    </row>
    <row r="485" spans="1:15" hidden="1" outlineLevel="1" x14ac:dyDescent="0.25">
      <c r="A485" s="149"/>
      <c r="B485" s="171">
        <v>46165</v>
      </c>
      <c r="C485" s="160">
        <v>71.209000000000003</v>
      </c>
      <c r="D485" s="66"/>
      <c r="E485" s="67"/>
      <c r="F485" s="57"/>
      <c r="G485" s="67"/>
    </row>
    <row r="486" spans="1:15" hidden="1" outlineLevel="1" x14ac:dyDescent="0.25">
      <c r="A486" s="149"/>
      <c r="B486" s="171">
        <v>46166</v>
      </c>
      <c r="C486" s="160">
        <v>71.209000000000003</v>
      </c>
      <c r="D486" s="66"/>
      <c r="E486" s="67"/>
      <c r="F486" s="57"/>
      <c r="G486" s="67"/>
    </row>
    <row r="487" spans="1:15" hidden="1" outlineLevel="1" x14ac:dyDescent="0.25">
      <c r="A487" s="149"/>
      <c r="B487" s="171">
        <v>46167</v>
      </c>
      <c r="C487" s="160">
        <v>71.209000000000003</v>
      </c>
      <c r="D487" s="66"/>
      <c r="E487" s="67">
        <f t="shared" si="80"/>
        <v>0</v>
      </c>
      <c r="F487" s="57"/>
      <c r="G487" s="67">
        <f t="shared" si="81"/>
        <v>0</v>
      </c>
    </row>
    <row r="488" spans="1:15" hidden="1" outlineLevel="1" x14ac:dyDescent="0.25">
      <c r="A488" s="149">
        <v>16</v>
      </c>
      <c r="B488" s="171">
        <v>46168</v>
      </c>
      <c r="C488" s="230">
        <v>71.546000000000006</v>
      </c>
      <c r="D488" s="66">
        <v>13570</v>
      </c>
      <c r="E488" s="67">
        <f t="shared" si="80"/>
        <v>970879.22000000009</v>
      </c>
      <c r="F488" s="57">
        <v>3759</v>
      </c>
      <c r="G488" s="67">
        <f t="shared" si="81"/>
        <v>268941.41400000005</v>
      </c>
    </row>
    <row r="489" spans="1:15" hidden="1" outlineLevel="1" x14ac:dyDescent="0.25">
      <c r="A489" s="149">
        <v>17</v>
      </c>
      <c r="B489" s="171">
        <v>46169</v>
      </c>
      <c r="C489" s="160">
        <v>71.668000000000006</v>
      </c>
      <c r="D489" s="66">
        <v>13540.5</v>
      </c>
      <c r="E489" s="67">
        <f t="shared" si="80"/>
        <v>970420.55400000012</v>
      </c>
      <c r="F489" s="57">
        <v>3738</v>
      </c>
      <c r="G489" s="67">
        <f t="shared" si="81"/>
        <v>267894.984</v>
      </c>
    </row>
    <row r="490" spans="1:15" hidden="1" outlineLevel="1" x14ac:dyDescent="0.25">
      <c r="A490" s="149">
        <v>18</v>
      </c>
      <c r="B490" s="171">
        <v>46170</v>
      </c>
      <c r="C490" s="160">
        <v>70.901200000000003</v>
      </c>
      <c r="D490" s="66">
        <v>13513</v>
      </c>
      <c r="E490" s="67">
        <f t="shared" ref="E490:E491" si="82">C490*D490</f>
        <v>958087.91560000007</v>
      </c>
      <c r="F490" s="57">
        <v>3735</v>
      </c>
      <c r="G490" s="67">
        <f t="shared" ref="G490:G491" si="83">F490*C490</f>
        <v>264815.98200000002</v>
      </c>
    </row>
    <row r="491" spans="1:15" hidden="1" outlineLevel="1" x14ac:dyDescent="0.25">
      <c r="A491" s="149">
        <v>19</v>
      </c>
      <c r="B491" s="171">
        <v>46171</v>
      </c>
      <c r="C491" s="160">
        <v>71.371499999999997</v>
      </c>
      <c r="D491" s="66">
        <v>13615</v>
      </c>
      <c r="E491" s="67">
        <f t="shared" si="82"/>
        <v>971722.97249999992</v>
      </c>
      <c r="F491" s="57">
        <v>3769.5</v>
      </c>
      <c r="G491" s="67">
        <f t="shared" si="83"/>
        <v>269034.86924999999</v>
      </c>
    </row>
    <row r="492" spans="1:15" hidden="1" outlineLevel="1" x14ac:dyDescent="0.25">
      <c r="A492" s="149"/>
      <c r="B492" s="171">
        <v>46172</v>
      </c>
      <c r="C492" s="160">
        <v>71.022400000000005</v>
      </c>
      <c r="D492" s="66"/>
      <c r="E492" s="67"/>
      <c r="F492" s="57"/>
      <c r="G492" s="67"/>
    </row>
    <row r="493" spans="1:15" ht="16.5" hidden="1" outlineLevel="1" thickBot="1" x14ac:dyDescent="0.3">
      <c r="A493" s="150"/>
      <c r="B493" s="92">
        <v>46173</v>
      </c>
      <c r="C493" s="161">
        <v>71.022400000000005</v>
      </c>
      <c r="D493" s="70"/>
      <c r="E493" s="156"/>
      <c r="F493" s="79"/>
      <c r="G493" s="156"/>
    </row>
    <row r="494" spans="1:15" ht="24" collapsed="1" thickBot="1" x14ac:dyDescent="0.4">
      <c r="A494" s="268" t="s">
        <v>42</v>
      </c>
      <c r="B494" s="269"/>
      <c r="C494" s="80">
        <f>SUM(C495:C525)/30</f>
        <v>73.544740000000004</v>
      </c>
      <c r="D494" s="220">
        <f>SUM(D495:D525)/22</f>
        <v>13574.318181818182</v>
      </c>
      <c r="E494" s="31">
        <f>SUM(E495:E525)/22</f>
        <v>995983.99170681823</v>
      </c>
      <c r="F494" s="220">
        <f>SUM(F495:F525)/22</f>
        <v>3458.6363636363635</v>
      </c>
      <c r="G494" s="75">
        <f>SUM(G495:G525)/22</f>
        <v>253569.45769999997</v>
      </c>
      <c r="H494" s="225"/>
      <c r="I494" s="25">
        <f>((D494-100)*C494*1.22+150000)/1000</f>
        <v>1358.9775773780909</v>
      </c>
      <c r="J494" s="25">
        <f>((F494+650)*C494*1.22+70000)/1000</f>
        <v>438.64568360418184</v>
      </c>
      <c r="K494" s="20">
        <v>430</v>
      </c>
      <c r="L494" s="46">
        <f>(C494*(F494+620)+70000)*1.22/1000</f>
        <v>451.35394612018183</v>
      </c>
      <c r="M494" s="228">
        <f>E494*1.22/1000</f>
        <v>1215.1004698823183</v>
      </c>
      <c r="N494" s="229">
        <f>G494*1.22/1000</f>
        <v>309.35473839399998</v>
      </c>
      <c r="O494" s="24"/>
    </row>
    <row r="495" spans="1:15" ht="19.5" hidden="1" outlineLevel="1" thickBot="1" x14ac:dyDescent="0.35">
      <c r="A495" s="163">
        <v>1</v>
      </c>
      <c r="B495" s="90">
        <v>46174</v>
      </c>
      <c r="C495" s="235">
        <v>71.022400000000005</v>
      </c>
      <c r="D495" s="65">
        <v>13966</v>
      </c>
      <c r="E495" s="67">
        <f t="shared" ref="E495:E513" si="84">C495*D495</f>
        <v>991898.83840000001</v>
      </c>
      <c r="F495" s="77">
        <v>3795.5</v>
      </c>
      <c r="G495" s="67">
        <f t="shared" ref="G495:G513" si="85">F495*C495</f>
        <v>269565.51920000004</v>
      </c>
      <c r="H495" s="235"/>
      <c r="K495" s="20">
        <v>430</v>
      </c>
      <c r="M495" s="228">
        <f t="shared" ref="M495:M526" si="86">E495*1.22/1000</f>
        <v>1210.1165828479998</v>
      </c>
      <c r="N495" s="229">
        <f t="shared" ref="N495:N526" si="87">G495*1.22/1000</f>
        <v>328.86993342400007</v>
      </c>
    </row>
    <row r="496" spans="1:15" ht="19.5" hidden="1" outlineLevel="1" thickBot="1" x14ac:dyDescent="0.35">
      <c r="A496" s="149">
        <v>2</v>
      </c>
      <c r="B496" s="171">
        <v>46175</v>
      </c>
      <c r="C496" s="236">
        <v>71.553200000000004</v>
      </c>
      <c r="D496" s="66">
        <v>13819</v>
      </c>
      <c r="E496" s="67">
        <f t="shared" si="84"/>
        <v>988793.67080000008</v>
      </c>
      <c r="F496" s="57">
        <v>3855</v>
      </c>
      <c r="G496" s="67">
        <f t="shared" si="85"/>
        <v>275837.58600000001</v>
      </c>
      <c r="H496" s="235"/>
      <c r="K496" s="20">
        <v>430</v>
      </c>
      <c r="M496" s="228">
        <f t="shared" si="86"/>
        <v>1206.3282783760001</v>
      </c>
      <c r="N496" s="229">
        <f t="shared" si="87"/>
        <v>336.52185492000001</v>
      </c>
    </row>
    <row r="497" spans="1:14" ht="19.5" hidden="1" outlineLevel="1" thickBot="1" x14ac:dyDescent="0.35">
      <c r="A497" s="149">
        <v>3</v>
      </c>
      <c r="B497" s="171">
        <v>46176</v>
      </c>
      <c r="C497" s="237">
        <v>72.559700000000007</v>
      </c>
      <c r="D497" s="66">
        <v>13920.5</v>
      </c>
      <c r="E497" s="67">
        <f t="shared" si="84"/>
        <v>1010067.3038500001</v>
      </c>
      <c r="F497" s="57">
        <v>3797</v>
      </c>
      <c r="G497" s="67">
        <f t="shared" si="85"/>
        <v>275509.18090000004</v>
      </c>
      <c r="H497" s="235"/>
      <c r="K497" s="20">
        <v>430</v>
      </c>
      <c r="M497" s="228">
        <f t="shared" si="86"/>
        <v>1232.282110697</v>
      </c>
      <c r="N497" s="229">
        <f t="shared" si="87"/>
        <v>336.12120069800005</v>
      </c>
    </row>
    <row r="498" spans="1:14" ht="19.5" hidden="1" outlineLevel="1" thickBot="1" x14ac:dyDescent="0.35">
      <c r="A498" s="149">
        <v>4</v>
      </c>
      <c r="B498" s="171">
        <v>46177</v>
      </c>
      <c r="C498" s="231">
        <v>73.343599999999995</v>
      </c>
      <c r="D498" s="66">
        <v>13872</v>
      </c>
      <c r="E498" s="67">
        <f t="shared" si="84"/>
        <v>1017422.4191999999</v>
      </c>
      <c r="F498" s="57">
        <v>3739</v>
      </c>
      <c r="G498" s="67">
        <f t="shared" si="85"/>
        <v>274231.72039999999</v>
      </c>
      <c r="H498" s="235"/>
      <c r="K498" s="20">
        <v>430</v>
      </c>
      <c r="M498" s="228">
        <f t="shared" si="86"/>
        <v>1241.2553514239999</v>
      </c>
      <c r="N498" s="229">
        <f t="shared" si="87"/>
        <v>334.562698888</v>
      </c>
    </row>
    <row r="499" spans="1:14" ht="19.5" hidden="1" outlineLevel="1" thickBot="1" x14ac:dyDescent="0.35">
      <c r="A499" s="149">
        <v>5</v>
      </c>
      <c r="B499" s="171">
        <v>46178</v>
      </c>
      <c r="C499" s="243">
        <v>74.295599999999993</v>
      </c>
      <c r="D499" s="66">
        <v>13731</v>
      </c>
      <c r="E499" s="67">
        <f t="shared" si="84"/>
        <v>1020152.8835999999</v>
      </c>
      <c r="F499" s="57">
        <v>3736</v>
      </c>
      <c r="G499" s="67">
        <f t="shared" si="85"/>
        <v>277568.36159999995</v>
      </c>
      <c r="H499" s="235"/>
      <c r="K499" s="20">
        <v>430</v>
      </c>
      <c r="M499" s="228">
        <f t="shared" si="86"/>
        <v>1244.5865179919999</v>
      </c>
      <c r="N499" s="229">
        <f t="shared" si="87"/>
        <v>338.63340115199992</v>
      </c>
    </row>
    <row r="500" spans="1:14" ht="19.5" hidden="1" outlineLevel="1" thickBot="1" x14ac:dyDescent="0.35">
      <c r="A500" s="149"/>
      <c r="B500" s="171">
        <v>46179</v>
      </c>
      <c r="C500" s="243">
        <v>73.468900000000005</v>
      </c>
      <c r="D500" s="66"/>
      <c r="E500" s="67"/>
      <c r="F500" s="57"/>
      <c r="G500" s="67"/>
      <c r="H500" s="235"/>
      <c r="K500" s="20">
        <v>430</v>
      </c>
      <c r="M500" s="228">
        <f t="shared" si="86"/>
        <v>0</v>
      </c>
      <c r="N500" s="229">
        <f t="shared" si="87"/>
        <v>0</v>
      </c>
    </row>
    <row r="501" spans="1:14" ht="19.5" hidden="1" outlineLevel="1" thickBot="1" x14ac:dyDescent="0.35">
      <c r="A501" s="149"/>
      <c r="B501" s="171">
        <v>46180</v>
      </c>
      <c r="C501" s="234">
        <v>73.468900000000005</v>
      </c>
      <c r="D501" s="66"/>
      <c r="E501" s="67"/>
      <c r="F501" s="57"/>
      <c r="G501" s="67"/>
      <c r="H501" s="235"/>
      <c r="K501" s="20">
        <v>430</v>
      </c>
      <c r="M501" s="228">
        <f t="shared" si="86"/>
        <v>0</v>
      </c>
      <c r="N501" s="229">
        <f t="shared" si="87"/>
        <v>0</v>
      </c>
    </row>
    <row r="502" spans="1:14" ht="19.5" hidden="1" outlineLevel="1" thickBot="1" x14ac:dyDescent="0.35">
      <c r="A502" s="149">
        <v>6</v>
      </c>
      <c r="B502" s="171">
        <v>46181</v>
      </c>
      <c r="C502" s="235">
        <v>73.468900000000005</v>
      </c>
      <c r="D502" s="66">
        <v>13661</v>
      </c>
      <c r="E502" s="67">
        <f t="shared" si="84"/>
        <v>1003658.6429000001</v>
      </c>
      <c r="F502" s="57">
        <v>3669.5</v>
      </c>
      <c r="G502" s="67">
        <f t="shared" si="85"/>
        <v>269594.12855000002</v>
      </c>
      <c r="H502" s="235"/>
      <c r="K502" s="20">
        <v>430</v>
      </c>
      <c r="M502" s="228">
        <f t="shared" si="86"/>
        <v>1224.463544338</v>
      </c>
      <c r="N502" s="229">
        <f t="shared" si="87"/>
        <v>328.90483683100001</v>
      </c>
    </row>
    <row r="503" spans="1:14" ht="19.5" hidden="1" outlineLevel="1" thickBot="1" x14ac:dyDescent="0.35">
      <c r="A503" s="149">
        <v>7</v>
      </c>
      <c r="B503" s="171">
        <v>46182</v>
      </c>
      <c r="C503" s="236">
        <v>73.264399999999995</v>
      </c>
      <c r="D503" s="66">
        <v>13716</v>
      </c>
      <c r="E503" s="67">
        <f t="shared" si="84"/>
        <v>1004894.5103999999</v>
      </c>
      <c r="F503" s="57">
        <v>3608</v>
      </c>
      <c r="G503" s="67">
        <f t="shared" si="85"/>
        <v>264337.95519999997</v>
      </c>
      <c r="H503" s="235"/>
      <c r="K503" s="20">
        <v>430</v>
      </c>
      <c r="M503" s="228">
        <f t="shared" si="86"/>
        <v>1225.9713026879997</v>
      </c>
      <c r="N503" s="229">
        <f t="shared" si="87"/>
        <v>322.49230534399993</v>
      </c>
    </row>
    <row r="504" spans="1:14" ht="19.5" hidden="1" outlineLevel="1" thickBot="1" x14ac:dyDescent="0.35">
      <c r="A504" s="149">
        <v>8</v>
      </c>
      <c r="B504" s="171">
        <v>46183</v>
      </c>
      <c r="C504" s="233">
        <v>71.731800000000007</v>
      </c>
      <c r="D504" s="66">
        <v>13370</v>
      </c>
      <c r="E504" s="67">
        <f t="shared" si="84"/>
        <v>959054.16600000008</v>
      </c>
      <c r="F504" s="57">
        <v>3489</v>
      </c>
      <c r="G504" s="67">
        <f t="shared" si="85"/>
        <v>250272.25020000001</v>
      </c>
      <c r="H504" s="235"/>
      <c r="K504" s="20">
        <v>430</v>
      </c>
      <c r="M504" s="228">
        <f t="shared" si="86"/>
        <v>1170.0460825200003</v>
      </c>
      <c r="N504" s="229">
        <f t="shared" si="87"/>
        <v>305.332145244</v>
      </c>
    </row>
    <row r="505" spans="1:14" ht="19.5" hidden="1" outlineLevel="1" thickBot="1" x14ac:dyDescent="0.35">
      <c r="A505" s="149">
        <v>9</v>
      </c>
      <c r="B505" s="171">
        <v>46184</v>
      </c>
      <c r="C505" s="233">
        <v>71.789199999999994</v>
      </c>
      <c r="D505" s="66">
        <v>13420</v>
      </c>
      <c r="E505" s="67">
        <f t="shared" si="84"/>
        <v>963411.0639999999</v>
      </c>
      <c r="F505" s="57">
        <v>3498.5</v>
      </c>
      <c r="G505" s="67">
        <f t="shared" si="85"/>
        <v>251154.51619999998</v>
      </c>
      <c r="H505" s="235"/>
      <c r="K505" s="20">
        <v>430</v>
      </c>
      <c r="M505" s="228">
        <f t="shared" si="86"/>
        <v>1175.3614980799998</v>
      </c>
      <c r="N505" s="229">
        <f t="shared" si="87"/>
        <v>306.40850976399997</v>
      </c>
    </row>
    <row r="506" spans="1:14" ht="19.5" hidden="1" outlineLevel="1" thickBot="1" x14ac:dyDescent="0.35">
      <c r="A506" s="149">
        <v>10</v>
      </c>
      <c r="B506" s="171">
        <v>46185</v>
      </c>
      <c r="C506" s="237">
        <v>71.907700000000006</v>
      </c>
      <c r="D506" s="66">
        <v>13603</v>
      </c>
      <c r="E506" s="67">
        <f t="shared" si="84"/>
        <v>978160.44310000003</v>
      </c>
      <c r="F506" s="57">
        <v>3536</v>
      </c>
      <c r="G506" s="67">
        <f t="shared" si="85"/>
        <v>254265.62720000002</v>
      </c>
      <c r="H506" s="235"/>
      <c r="K506" s="20">
        <v>430</v>
      </c>
      <c r="M506" s="228">
        <f t="shared" si="86"/>
        <v>1193.355740582</v>
      </c>
      <c r="N506" s="229">
        <f t="shared" si="87"/>
        <v>310.204065184</v>
      </c>
    </row>
    <row r="507" spans="1:14" ht="19.5" hidden="1" outlineLevel="1" thickBot="1" x14ac:dyDescent="0.35">
      <c r="A507" s="149"/>
      <c r="B507" s="171">
        <v>46186</v>
      </c>
      <c r="C507" s="238">
        <v>71.907700000000006</v>
      </c>
      <c r="D507" s="66"/>
      <c r="E507" s="67"/>
      <c r="F507" s="57"/>
      <c r="G507" s="67"/>
      <c r="H507" s="235"/>
      <c r="K507" s="20">
        <v>430</v>
      </c>
      <c r="M507" s="228">
        <f t="shared" si="86"/>
        <v>0</v>
      </c>
      <c r="N507" s="229">
        <f t="shared" si="87"/>
        <v>0</v>
      </c>
    </row>
    <row r="508" spans="1:14" ht="19.5" hidden="1" outlineLevel="1" thickBot="1" x14ac:dyDescent="0.35">
      <c r="A508" s="149"/>
      <c r="B508" s="171">
        <v>46187</v>
      </c>
      <c r="C508" s="235">
        <v>71.907700000000006</v>
      </c>
      <c r="D508" s="66"/>
      <c r="E508" s="67"/>
      <c r="F508" s="57"/>
      <c r="G508" s="67"/>
      <c r="H508" s="235"/>
      <c r="K508" s="20">
        <v>430</v>
      </c>
      <c r="M508" s="228">
        <f t="shared" si="86"/>
        <v>0</v>
      </c>
      <c r="N508" s="229">
        <f t="shared" si="87"/>
        <v>0</v>
      </c>
    </row>
    <row r="509" spans="1:14" ht="19.5" hidden="1" outlineLevel="1" thickBot="1" x14ac:dyDescent="0.35">
      <c r="A509" s="149">
        <v>11</v>
      </c>
      <c r="B509" s="171">
        <v>46188</v>
      </c>
      <c r="C509" s="232">
        <v>71.907700000000006</v>
      </c>
      <c r="D509" s="66">
        <v>13714</v>
      </c>
      <c r="E509" s="67">
        <f t="shared" si="84"/>
        <v>986142.19780000008</v>
      </c>
      <c r="F509" s="57">
        <v>3419.5</v>
      </c>
      <c r="G509" s="67">
        <f t="shared" si="85"/>
        <v>245888.38015000001</v>
      </c>
      <c r="H509" s="235"/>
      <c r="K509" s="20">
        <v>430</v>
      </c>
      <c r="M509" s="228">
        <f t="shared" si="86"/>
        <v>1203.093481316</v>
      </c>
      <c r="N509" s="229">
        <f t="shared" si="87"/>
        <v>299.98382378299999</v>
      </c>
    </row>
    <row r="510" spans="1:14" ht="19.5" hidden="1" outlineLevel="1" thickBot="1" x14ac:dyDescent="0.35">
      <c r="A510" s="149">
        <v>12</v>
      </c>
      <c r="B510" s="171">
        <v>46189</v>
      </c>
      <c r="C510" s="239">
        <v>72.451300000000003</v>
      </c>
      <c r="D510" s="66">
        <v>13682</v>
      </c>
      <c r="E510" s="67">
        <f t="shared" si="84"/>
        <v>991278.68660000002</v>
      </c>
      <c r="F510" s="57">
        <v>3359</v>
      </c>
      <c r="G510" s="67">
        <f t="shared" si="85"/>
        <v>243363.9167</v>
      </c>
      <c r="H510" s="235"/>
      <c r="K510" s="20">
        <v>430</v>
      </c>
      <c r="M510" s="228">
        <f t="shared" si="86"/>
        <v>1209.3599976519999</v>
      </c>
      <c r="N510" s="229">
        <f t="shared" si="87"/>
        <v>296.90397837400002</v>
      </c>
    </row>
    <row r="511" spans="1:14" ht="19.5" hidden="1" outlineLevel="1" thickBot="1" x14ac:dyDescent="0.35">
      <c r="A511" s="149">
        <v>13</v>
      </c>
      <c r="B511" s="171">
        <v>46190</v>
      </c>
      <c r="C511" s="234">
        <v>72.138800000000003</v>
      </c>
      <c r="D511" s="66">
        <v>13736</v>
      </c>
      <c r="E511" s="67">
        <f t="shared" si="84"/>
        <v>990898.55680000002</v>
      </c>
      <c r="F511" s="57">
        <v>3405.5</v>
      </c>
      <c r="G511" s="67">
        <f t="shared" si="85"/>
        <v>245668.68340000001</v>
      </c>
      <c r="H511" s="235"/>
      <c r="K511" s="20">
        <v>430</v>
      </c>
      <c r="M511" s="228">
        <f t="shared" si="86"/>
        <v>1208.896239296</v>
      </c>
      <c r="N511" s="229">
        <f t="shared" si="87"/>
        <v>299.71579374800001</v>
      </c>
    </row>
    <row r="512" spans="1:14" ht="19.5" hidden="1" outlineLevel="1" thickBot="1" x14ac:dyDescent="0.35">
      <c r="A512" s="149">
        <v>14</v>
      </c>
      <c r="B512" s="171">
        <v>46191</v>
      </c>
      <c r="C512" s="232">
        <v>72.747900000000001</v>
      </c>
      <c r="D512" s="66">
        <v>13612</v>
      </c>
      <c r="E512" s="67">
        <f t="shared" si="84"/>
        <v>990244.41480000003</v>
      </c>
      <c r="F512" s="57">
        <v>3402</v>
      </c>
      <c r="G512" s="67">
        <f t="shared" si="85"/>
        <v>247488.35579999999</v>
      </c>
      <c r="H512" s="235"/>
      <c r="K512" s="20">
        <v>430</v>
      </c>
      <c r="M512" s="228">
        <f t="shared" si="86"/>
        <v>1208.098186056</v>
      </c>
      <c r="N512" s="229">
        <f t="shared" si="87"/>
        <v>301.93579407599998</v>
      </c>
    </row>
    <row r="513" spans="1:14" ht="19.5" hidden="1" outlineLevel="1" thickBot="1" x14ac:dyDescent="0.35">
      <c r="A513" s="149">
        <v>15</v>
      </c>
      <c r="B513" s="171">
        <v>46192</v>
      </c>
      <c r="C513" s="232">
        <v>73.359099999999998</v>
      </c>
      <c r="D513" s="66">
        <v>13530.5</v>
      </c>
      <c r="E513" s="67">
        <f t="shared" si="84"/>
        <v>992585.30255000002</v>
      </c>
      <c r="F513" s="57">
        <v>3400</v>
      </c>
      <c r="G513" s="67">
        <f t="shared" si="85"/>
        <v>249420.94</v>
      </c>
      <c r="H513" s="235"/>
      <c r="K513" s="20">
        <v>430</v>
      </c>
      <c r="M513" s="228">
        <f t="shared" si="86"/>
        <v>1210.9540691110001</v>
      </c>
      <c r="N513" s="229">
        <f t="shared" si="87"/>
        <v>304.2935468</v>
      </c>
    </row>
    <row r="514" spans="1:14" ht="19.5" hidden="1" outlineLevel="1" thickBot="1" x14ac:dyDescent="0.35">
      <c r="A514" s="149"/>
      <c r="B514" s="171">
        <v>46193</v>
      </c>
      <c r="C514" s="235">
        <v>73.438999999999993</v>
      </c>
      <c r="D514" s="66"/>
      <c r="E514" s="67"/>
      <c r="F514" s="57"/>
      <c r="G514" s="67"/>
      <c r="H514" s="235"/>
      <c r="K514" s="20">
        <v>430</v>
      </c>
      <c r="M514" s="228">
        <f t="shared" si="86"/>
        <v>0</v>
      </c>
      <c r="N514" s="229">
        <f t="shared" si="87"/>
        <v>0</v>
      </c>
    </row>
    <row r="515" spans="1:14" ht="19.5" hidden="1" outlineLevel="1" thickBot="1" x14ac:dyDescent="0.35">
      <c r="A515" s="149"/>
      <c r="B515" s="171">
        <v>46194</v>
      </c>
      <c r="C515" s="232">
        <v>73.438999999999993</v>
      </c>
      <c r="D515" s="66"/>
      <c r="E515" s="67"/>
      <c r="F515" s="57"/>
      <c r="G515" s="67"/>
      <c r="H515" s="235"/>
      <c r="K515" s="20">
        <v>430</v>
      </c>
      <c r="M515" s="228">
        <f t="shared" si="86"/>
        <v>0</v>
      </c>
      <c r="N515" s="229">
        <f t="shared" si="87"/>
        <v>0</v>
      </c>
    </row>
    <row r="516" spans="1:14" ht="19.5" hidden="1" outlineLevel="1" thickBot="1" x14ac:dyDescent="0.35">
      <c r="A516" s="149">
        <v>16</v>
      </c>
      <c r="B516" s="171">
        <v>46195</v>
      </c>
      <c r="C516" s="232">
        <v>73.438999999999993</v>
      </c>
      <c r="D516" s="66">
        <v>13642</v>
      </c>
      <c r="E516" s="67">
        <f t="shared" ref="E516:E518" si="88">C516*D516</f>
        <v>1001854.8379999999</v>
      </c>
      <c r="F516" s="57">
        <v>3405</v>
      </c>
      <c r="G516" s="67">
        <f t="shared" ref="G516:G518" si="89">F516*C516</f>
        <v>250059.79499999998</v>
      </c>
      <c r="H516" s="235"/>
      <c r="K516" s="20">
        <v>430</v>
      </c>
      <c r="M516" s="228">
        <f t="shared" si="86"/>
        <v>1222.2629023599998</v>
      </c>
      <c r="N516" s="229">
        <f t="shared" si="87"/>
        <v>305.07294989999997</v>
      </c>
    </row>
    <row r="517" spans="1:14" ht="19.5" hidden="1" outlineLevel="1" thickBot="1" x14ac:dyDescent="0.35">
      <c r="A517" s="149">
        <v>17</v>
      </c>
      <c r="B517" s="171">
        <v>46196</v>
      </c>
      <c r="C517" s="232">
        <v>73.765000000000001</v>
      </c>
      <c r="D517" s="66">
        <v>13334</v>
      </c>
      <c r="E517" s="67">
        <f t="shared" si="88"/>
        <v>983582.51</v>
      </c>
      <c r="F517" s="57">
        <v>3263.5</v>
      </c>
      <c r="G517" s="67">
        <f t="shared" si="89"/>
        <v>240732.07750000001</v>
      </c>
      <c r="H517" s="235"/>
      <c r="K517" s="20">
        <v>430</v>
      </c>
      <c r="M517" s="228">
        <f t="shared" si="86"/>
        <v>1199.9706621999999</v>
      </c>
      <c r="N517" s="229">
        <f t="shared" si="87"/>
        <v>293.69313455000002</v>
      </c>
    </row>
    <row r="518" spans="1:14" ht="19.5" hidden="1" outlineLevel="1" thickBot="1" x14ac:dyDescent="0.35">
      <c r="A518" s="149">
        <v>18</v>
      </c>
      <c r="B518" s="171">
        <v>46197</v>
      </c>
      <c r="C518" s="232">
        <v>74.62</v>
      </c>
      <c r="D518" s="66">
        <v>13181.5</v>
      </c>
      <c r="E518" s="67">
        <f t="shared" si="88"/>
        <v>983603.53</v>
      </c>
      <c r="F518" s="57">
        <v>3150</v>
      </c>
      <c r="G518" s="67">
        <f t="shared" si="89"/>
        <v>235053</v>
      </c>
      <c r="H518" s="235"/>
      <c r="K518" s="20">
        <v>430</v>
      </c>
      <c r="M518" s="228">
        <f t="shared" si="86"/>
        <v>1199.9963066</v>
      </c>
      <c r="N518" s="229">
        <f t="shared" si="87"/>
        <v>286.76465999999999</v>
      </c>
    </row>
    <row r="519" spans="1:14" ht="19.5" hidden="1" outlineLevel="1" thickBot="1" x14ac:dyDescent="0.35">
      <c r="A519" s="149">
        <v>19</v>
      </c>
      <c r="B519" s="171">
        <v>46198</v>
      </c>
      <c r="C519" s="232">
        <v>74.773799999999994</v>
      </c>
      <c r="D519" s="66">
        <v>13194</v>
      </c>
      <c r="E519" s="67">
        <f t="shared" ref="E519:E524" si="90">C519*D519</f>
        <v>986565.51719999989</v>
      </c>
      <c r="F519" s="57">
        <v>3132</v>
      </c>
      <c r="G519" s="67">
        <f t="shared" ref="G519:G524" si="91">F519*C519</f>
        <v>234191.54159999997</v>
      </c>
      <c r="H519" s="235"/>
      <c r="K519" s="20">
        <v>430</v>
      </c>
      <c r="M519" s="228">
        <f t="shared" si="86"/>
        <v>1203.6099309839997</v>
      </c>
      <c r="N519" s="229">
        <f t="shared" si="87"/>
        <v>285.71368075199996</v>
      </c>
    </row>
    <row r="520" spans="1:14" ht="19.5" hidden="1" outlineLevel="1" thickBot="1" x14ac:dyDescent="0.35">
      <c r="A520" s="149">
        <v>20</v>
      </c>
      <c r="B520" s="171">
        <v>46199</v>
      </c>
      <c r="C520" s="230">
        <v>75.634699999999995</v>
      </c>
      <c r="D520" s="66">
        <v>13287</v>
      </c>
      <c r="E520" s="67">
        <f t="shared" si="90"/>
        <v>1004958.2588999999</v>
      </c>
      <c r="F520" s="57">
        <v>3164</v>
      </c>
      <c r="G520" s="67">
        <f t="shared" si="91"/>
        <v>239308.19079999998</v>
      </c>
      <c r="H520" s="235"/>
      <c r="K520" s="20">
        <v>430</v>
      </c>
      <c r="M520" s="228">
        <f t="shared" si="86"/>
        <v>1226.0490758579997</v>
      </c>
      <c r="N520" s="229">
        <f t="shared" si="87"/>
        <v>291.95599277600002</v>
      </c>
    </row>
    <row r="521" spans="1:14" ht="19.5" hidden="1" outlineLevel="1" thickBot="1" x14ac:dyDescent="0.35">
      <c r="A521" s="149"/>
      <c r="B521" s="171">
        <v>46200</v>
      </c>
      <c r="C521" s="160">
        <v>77.061099999999996</v>
      </c>
      <c r="D521" s="66"/>
      <c r="E521" s="67"/>
      <c r="F521" s="57"/>
      <c r="G521" s="67"/>
      <c r="H521" s="235"/>
      <c r="K521" s="20">
        <v>430</v>
      </c>
      <c r="M521" s="228">
        <f t="shared" si="86"/>
        <v>0</v>
      </c>
      <c r="N521" s="229">
        <f t="shared" si="87"/>
        <v>0</v>
      </c>
    </row>
    <row r="522" spans="1:14" ht="19.5" hidden="1" outlineLevel="1" thickBot="1" x14ac:dyDescent="0.35">
      <c r="A522" s="149"/>
      <c r="B522" s="171">
        <v>46201</v>
      </c>
      <c r="C522" s="160">
        <v>77.061099999999996</v>
      </c>
      <c r="D522" s="66"/>
      <c r="E522" s="67"/>
      <c r="F522" s="57"/>
      <c r="G522" s="67"/>
      <c r="K522" s="20">
        <v>430</v>
      </c>
      <c r="M522" s="228">
        <f t="shared" si="86"/>
        <v>0</v>
      </c>
      <c r="N522" s="229">
        <f t="shared" si="87"/>
        <v>0</v>
      </c>
    </row>
    <row r="523" spans="1:14" ht="19.5" hidden="1" outlineLevel="1" thickBot="1" x14ac:dyDescent="0.35">
      <c r="A523" s="149">
        <v>21</v>
      </c>
      <c r="B523" s="171">
        <v>46202</v>
      </c>
      <c r="C523" s="160">
        <v>77.061099999999996</v>
      </c>
      <c r="D523" s="66">
        <v>13302.5</v>
      </c>
      <c r="E523" s="67">
        <f t="shared" si="90"/>
        <v>1025105.2827499999</v>
      </c>
      <c r="F523" s="57">
        <v>3160.5</v>
      </c>
      <c r="G523" s="67">
        <f t="shared" si="91"/>
        <v>243551.60655</v>
      </c>
      <c r="K523" s="20">
        <v>430</v>
      </c>
      <c r="M523" s="228">
        <f t="shared" si="86"/>
        <v>1250.6284449549998</v>
      </c>
      <c r="N523" s="229">
        <f t="shared" si="87"/>
        <v>297.13295999100001</v>
      </c>
    </row>
    <row r="524" spans="1:14" ht="19.5" hidden="1" outlineLevel="1" thickBot="1" x14ac:dyDescent="0.35">
      <c r="A524" s="149">
        <v>22</v>
      </c>
      <c r="B524" s="171">
        <v>46203</v>
      </c>
      <c r="C524" s="160">
        <v>77.753900000000002</v>
      </c>
      <c r="D524" s="66">
        <v>13341</v>
      </c>
      <c r="E524" s="67">
        <f t="shared" si="90"/>
        <v>1037314.7799</v>
      </c>
      <c r="F524" s="57">
        <v>3105.5</v>
      </c>
      <c r="G524" s="67">
        <f t="shared" si="91"/>
        <v>241464.73645</v>
      </c>
      <c r="K524" s="20">
        <v>430</v>
      </c>
      <c r="M524" s="228">
        <f t="shared" si="86"/>
        <v>1265.5240314779999</v>
      </c>
      <c r="N524" s="229">
        <f t="shared" si="87"/>
        <v>294.58697846899997</v>
      </c>
    </row>
    <row r="525" spans="1:14" ht="19.5" hidden="1" outlineLevel="1" thickBot="1" x14ac:dyDescent="0.35">
      <c r="A525" s="150"/>
      <c r="B525" s="92"/>
      <c r="C525" s="161"/>
      <c r="D525" s="70"/>
      <c r="E525" s="156"/>
      <c r="F525" s="79"/>
      <c r="G525" s="156"/>
      <c r="K525" s="20">
        <v>430</v>
      </c>
      <c r="M525" s="228">
        <f t="shared" si="86"/>
        <v>0</v>
      </c>
      <c r="N525" s="229">
        <f t="shared" si="87"/>
        <v>0</v>
      </c>
    </row>
    <row r="526" spans="1:14" ht="24" collapsed="1" thickBot="1" x14ac:dyDescent="0.4">
      <c r="A526" s="264" t="s">
        <v>43</v>
      </c>
      <c r="B526" s="265"/>
      <c r="C526" s="259">
        <f>SUM(C527:C557)/31</f>
        <v>77.82516451612905</v>
      </c>
      <c r="D526" s="224">
        <f>SUM(D527:D557)/23</f>
        <v>13536.282608695652</v>
      </c>
      <c r="E526" s="95">
        <f>SUM(E527:E557)/23</f>
        <v>1054730.8361086959</v>
      </c>
      <c r="F526" s="224">
        <f>SUM(F527:F557)/23</f>
        <v>3156.4565217391305</v>
      </c>
      <c r="G526" s="210">
        <f>SUM(G527:G557)/23</f>
        <v>245934.09072608696</v>
      </c>
      <c r="H526" s="145"/>
      <c r="I526" s="25">
        <f>((D526)*C526*1.22+120000)/1000</f>
        <v>1405.2253735694378</v>
      </c>
      <c r="J526" s="25">
        <f>((F526+650)*C526*1.22+70000)/1000</f>
        <v>431.41048813396498</v>
      </c>
      <c r="K526" s="20">
        <v>440</v>
      </c>
      <c r="M526" s="246">
        <f t="shared" si="86"/>
        <v>1286.771620052609</v>
      </c>
      <c r="N526" s="247">
        <f t="shared" si="87"/>
        <v>300.03959068582611</v>
      </c>
    </row>
    <row r="527" spans="1:14" ht="18.75" hidden="1" outlineLevel="2" x14ac:dyDescent="0.3">
      <c r="A527" s="163">
        <v>1</v>
      </c>
      <c r="B527" s="152">
        <v>46204</v>
      </c>
      <c r="C527" s="256">
        <v>78.269599999999997</v>
      </c>
      <c r="D527" s="78">
        <v>13170</v>
      </c>
      <c r="E527" s="244">
        <f t="shared" ref="E527:E529" si="92">C527*D527</f>
        <v>1030810.632</v>
      </c>
      <c r="F527" s="78">
        <v>3075</v>
      </c>
      <c r="G527" s="244">
        <f t="shared" ref="G527:G529" si="93">F527*C527</f>
        <v>240679.02</v>
      </c>
      <c r="K527" s="20">
        <v>440</v>
      </c>
    </row>
    <row r="528" spans="1:14" ht="18.75" hidden="1" outlineLevel="2" x14ac:dyDescent="0.3">
      <c r="A528" s="149">
        <v>2</v>
      </c>
      <c r="B528" s="164">
        <v>46205</v>
      </c>
      <c r="C528" s="254">
        <v>78.265199999999993</v>
      </c>
      <c r="D528" s="57">
        <v>13202</v>
      </c>
      <c r="E528" s="67">
        <f t="shared" si="92"/>
        <v>1033257.1703999999</v>
      </c>
      <c r="F528" s="57">
        <v>3061.5</v>
      </c>
      <c r="G528" s="67">
        <f t="shared" si="93"/>
        <v>239608.90979999996</v>
      </c>
      <c r="K528" s="20">
        <v>440</v>
      </c>
    </row>
    <row r="529" spans="1:11" ht="18.75" hidden="1" outlineLevel="2" x14ac:dyDescent="0.3">
      <c r="A529" s="149">
        <v>3</v>
      </c>
      <c r="B529" s="164">
        <v>46206</v>
      </c>
      <c r="C529" s="237">
        <v>77.929299999999998</v>
      </c>
      <c r="D529" s="57">
        <v>13345</v>
      </c>
      <c r="E529" s="67">
        <f t="shared" si="92"/>
        <v>1039966.5085</v>
      </c>
      <c r="F529" s="57">
        <v>3080</v>
      </c>
      <c r="G529" s="67">
        <f t="shared" si="93"/>
        <v>240022.24400000001</v>
      </c>
      <c r="K529" s="20">
        <v>440</v>
      </c>
    </row>
    <row r="530" spans="1:11" ht="18.75" hidden="1" outlineLevel="2" x14ac:dyDescent="0.3">
      <c r="A530" s="149"/>
      <c r="B530" s="164">
        <v>46207</v>
      </c>
      <c r="C530" s="231">
        <v>77.226399999999998</v>
      </c>
      <c r="D530" s="57"/>
      <c r="E530" s="67"/>
      <c r="F530" s="57"/>
      <c r="G530" s="67"/>
      <c r="K530" s="20">
        <v>440</v>
      </c>
    </row>
    <row r="531" spans="1:11" ht="18.75" hidden="1" outlineLevel="2" x14ac:dyDescent="0.3">
      <c r="A531" s="149"/>
      <c r="B531" s="164">
        <v>46208</v>
      </c>
      <c r="C531" s="243">
        <v>77.226399999999998</v>
      </c>
      <c r="D531" s="57"/>
      <c r="E531" s="67"/>
      <c r="F531" s="57"/>
      <c r="G531" s="67"/>
      <c r="K531" s="20">
        <v>440</v>
      </c>
    </row>
    <row r="532" spans="1:11" ht="18.75" hidden="1" outlineLevel="2" x14ac:dyDescent="0.3">
      <c r="A532" s="149">
        <v>4</v>
      </c>
      <c r="B532" s="164">
        <v>46209</v>
      </c>
      <c r="C532" s="243">
        <v>77.226399999999998</v>
      </c>
      <c r="D532" s="57">
        <v>13310</v>
      </c>
      <c r="E532" s="67">
        <f t="shared" ref="E532:E541" si="94">C532*D532</f>
        <v>1027883.384</v>
      </c>
      <c r="F532" s="57">
        <v>3105</v>
      </c>
      <c r="G532" s="67">
        <f t="shared" ref="G532:G541" si="95">F532*C532</f>
        <v>239787.97199999998</v>
      </c>
      <c r="K532" s="20">
        <v>440</v>
      </c>
    </row>
    <row r="533" spans="1:11" ht="18.75" hidden="1" outlineLevel="2" x14ac:dyDescent="0.3">
      <c r="A533" s="149">
        <v>5</v>
      </c>
      <c r="B533" s="164">
        <v>46210</v>
      </c>
      <c r="C533" s="254">
        <v>77.969499999999996</v>
      </c>
      <c r="D533" s="57">
        <v>13309</v>
      </c>
      <c r="E533" s="67">
        <f t="shared" si="94"/>
        <v>1037696.0754999999</v>
      </c>
      <c r="F533" s="57">
        <v>3119</v>
      </c>
      <c r="G533" s="67">
        <f t="shared" si="95"/>
        <v>243186.87049999999</v>
      </c>
      <c r="K533" s="20">
        <v>440</v>
      </c>
    </row>
    <row r="534" spans="1:11" ht="18.75" hidden="1" outlineLevel="2" x14ac:dyDescent="0.3">
      <c r="A534" s="149">
        <v>6</v>
      </c>
      <c r="B534" s="164">
        <v>46211</v>
      </c>
      <c r="C534" s="237">
        <v>76.125799999999998</v>
      </c>
      <c r="D534" s="57">
        <v>13090</v>
      </c>
      <c r="E534" s="67">
        <f t="shared" si="94"/>
        <v>996486.72199999995</v>
      </c>
      <c r="F534" s="57">
        <v>3147</v>
      </c>
      <c r="G534" s="67">
        <f t="shared" si="95"/>
        <v>239567.89259999999</v>
      </c>
      <c r="K534" s="20">
        <v>440</v>
      </c>
    </row>
    <row r="535" spans="1:11" ht="18.75" hidden="1" outlineLevel="2" x14ac:dyDescent="0.3">
      <c r="A535" s="149">
        <v>7</v>
      </c>
      <c r="B535" s="164">
        <v>46212</v>
      </c>
      <c r="C535" s="237">
        <v>76.402600000000007</v>
      </c>
      <c r="D535" s="57">
        <v>13565.5</v>
      </c>
      <c r="E535" s="67">
        <f t="shared" si="94"/>
        <v>1036439.4703</v>
      </c>
      <c r="F535" s="57">
        <v>3169</v>
      </c>
      <c r="G535" s="67">
        <f t="shared" si="95"/>
        <v>242119.83940000003</v>
      </c>
      <c r="K535" s="20">
        <v>440</v>
      </c>
    </row>
    <row r="536" spans="1:11" ht="18.75" hidden="1" outlineLevel="2" x14ac:dyDescent="0.3">
      <c r="A536" s="149">
        <v>8</v>
      </c>
      <c r="B536" s="164">
        <v>46213</v>
      </c>
      <c r="C536" s="233">
        <v>75.930000000000007</v>
      </c>
      <c r="D536" s="57">
        <v>13408.5</v>
      </c>
      <c r="E536" s="67">
        <f t="shared" si="94"/>
        <v>1018107.4050000001</v>
      </c>
      <c r="F536" s="57">
        <v>3156</v>
      </c>
      <c r="G536" s="67">
        <f t="shared" si="95"/>
        <v>239635.08000000002</v>
      </c>
      <c r="K536" s="20">
        <v>440</v>
      </c>
    </row>
    <row r="537" spans="1:11" ht="18.75" hidden="1" outlineLevel="2" x14ac:dyDescent="0.3">
      <c r="A537" s="149"/>
      <c r="B537" s="164">
        <v>46214</v>
      </c>
      <c r="C537" s="255">
        <v>76.664699999999996</v>
      </c>
      <c r="D537" s="57"/>
      <c r="E537" s="67"/>
      <c r="F537" s="57"/>
      <c r="G537" s="67"/>
      <c r="K537" s="20">
        <v>440</v>
      </c>
    </row>
    <row r="538" spans="1:11" ht="18.75" hidden="1" outlineLevel="2" x14ac:dyDescent="0.3">
      <c r="A538" s="149"/>
      <c r="B538" s="164">
        <v>46215</v>
      </c>
      <c r="C538" s="237">
        <v>76.664699999999996</v>
      </c>
      <c r="D538" s="57"/>
      <c r="E538" s="67"/>
      <c r="F538" s="57"/>
      <c r="G538" s="67"/>
      <c r="K538" s="20">
        <v>440</v>
      </c>
    </row>
    <row r="539" spans="1:11" ht="18.75" hidden="1" outlineLevel="2" x14ac:dyDescent="0.3">
      <c r="A539" s="149">
        <v>9</v>
      </c>
      <c r="B539" s="164">
        <v>46216</v>
      </c>
      <c r="C539" s="237">
        <v>76.664699999999996</v>
      </c>
      <c r="D539" s="57">
        <v>13460.5</v>
      </c>
      <c r="E539" s="67">
        <f t="shared" si="94"/>
        <v>1031945.19435</v>
      </c>
      <c r="F539" s="57">
        <v>3138.5</v>
      </c>
      <c r="G539" s="67">
        <f t="shared" si="95"/>
        <v>240612.16094999999</v>
      </c>
      <c r="K539" s="20">
        <v>440</v>
      </c>
    </row>
    <row r="540" spans="1:11" ht="18.75" hidden="1" outlineLevel="2" x14ac:dyDescent="0.3">
      <c r="A540" s="149">
        <v>10</v>
      </c>
      <c r="B540" s="164">
        <v>46217</v>
      </c>
      <c r="C540" s="237">
        <v>76.621300000000005</v>
      </c>
      <c r="D540" s="57">
        <v>13541</v>
      </c>
      <c r="E540" s="67">
        <f t="shared" si="94"/>
        <v>1037529.0233000001</v>
      </c>
      <c r="F540" s="57">
        <v>3171</v>
      </c>
      <c r="G540" s="67">
        <f t="shared" si="95"/>
        <v>242966.14230000001</v>
      </c>
      <c r="K540" s="20">
        <v>440</v>
      </c>
    </row>
    <row r="541" spans="1:11" ht="18.75" hidden="1" outlineLevel="2" x14ac:dyDescent="0.3">
      <c r="A541" s="149">
        <v>11</v>
      </c>
      <c r="B541" s="164">
        <v>46218</v>
      </c>
      <c r="C541" s="233">
        <v>77.491200000000006</v>
      </c>
      <c r="D541" s="57">
        <v>13537</v>
      </c>
      <c r="E541" s="67">
        <f t="shared" si="94"/>
        <v>1048998.3744000001</v>
      </c>
      <c r="F541" s="57">
        <v>3153.5</v>
      </c>
      <c r="G541" s="67">
        <f t="shared" si="95"/>
        <v>244368.49920000002</v>
      </c>
      <c r="K541" s="20">
        <v>440</v>
      </c>
    </row>
    <row r="542" spans="1:11" ht="18.75" hidden="1" outlineLevel="2" x14ac:dyDescent="0.3">
      <c r="A542" s="149">
        <v>12</v>
      </c>
      <c r="B542" s="164">
        <v>46219</v>
      </c>
      <c r="C542" s="239">
        <v>77.956800000000001</v>
      </c>
      <c r="D542" s="57">
        <v>13565</v>
      </c>
      <c r="E542" s="67">
        <f t="shared" ref="E542:E543" si="96">C542*D542</f>
        <v>1057483.9920000001</v>
      </c>
      <c r="F542" s="57">
        <v>3170</v>
      </c>
      <c r="G542" s="67">
        <f t="shared" ref="G542:G543" si="97">F542*C542</f>
        <v>247123.05600000001</v>
      </c>
      <c r="K542" s="20">
        <v>440</v>
      </c>
    </row>
    <row r="543" spans="1:11" ht="18.75" hidden="1" outlineLevel="2" x14ac:dyDescent="0.3">
      <c r="A543" s="149">
        <v>13</v>
      </c>
      <c r="B543" s="164">
        <v>46220</v>
      </c>
      <c r="C543" s="233">
        <v>78.318100000000001</v>
      </c>
      <c r="D543" s="57">
        <v>13373.5</v>
      </c>
      <c r="E543" s="67">
        <f t="shared" si="96"/>
        <v>1047387.11035</v>
      </c>
      <c r="F543" s="57">
        <v>3154</v>
      </c>
      <c r="G543" s="67">
        <f t="shared" si="97"/>
        <v>247015.2874</v>
      </c>
      <c r="K543" s="20">
        <v>440</v>
      </c>
    </row>
    <row r="544" spans="1:11" ht="18.75" hidden="1" outlineLevel="2" x14ac:dyDescent="0.3">
      <c r="A544" s="149"/>
      <c r="B544" s="164">
        <v>46221</v>
      </c>
      <c r="C544" s="233">
        <v>78.398700000000005</v>
      </c>
      <c r="D544" s="57"/>
      <c r="E544" s="67"/>
      <c r="F544" s="57"/>
      <c r="G544" s="67"/>
      <c r="K544" s="20">
        <v>440</v>
      </c>
    </row>
    <row r="545" spans="1:14" ht="18.75" hidden="1" outlineLevel="2" x14ac:dyDescent="0.3">
      <c r="A545" s="149"/>
      <c r="B545" s="164">
        <v>46222</v>
      </c>
      <c r="C545" s="233">
        <v>78.398700000000005</v>
      </c>
      <c r="D545" s="57"/>
      <c r="E545" s="67"/>
      <c r="F545" s="57"/>
      <c r="G545" s="67"/>
      <c r="K545" s="20">
        <v>440</v>
      </c>
    </row>
    <row r="546" spans="1:14" ht="18.75" hidden="1" outlineLevel="2" x14ac:dyDescent="0.3">
      <c r="A546" s="149">
        <v>14</v>
      </c>
      <c r="B546" s="164">
        <v>46223</v>
      </c>
      <c r="C546" s="233">
        <v>78.398700000000005</v>
      </c>
      <c r="D546" s="57">
        <v>13629</v>
      </c>
      <c r="E546" s="67">
        <f t="shared" ref="E546:E555" si="98">C546*D546</f>
        <v>1068495.8823000002</v>
      </c>
      <c r="F546" s="57">
        <v>3156</v>
      </c>
      <c r="G546" s="67">
        <f t="shared" ref="G546:G555" si="99">F546*C546</f>
        <v>247426.29720000003</v>
      </c>
      <c r="K546" s="20">
        <v>440</v>
      </c>
    </row>
    <row r="547" spans="1:14" ht="18.75" hidden="1" outlineLevel="2" x14ac:dyDescent="0.3">
      <c r="A547" s="149">
        <v>15</v>
      </c>
      <c r="B547" s="164">
        <v>46224</v>
      </c>
      <c r="C547" s="233">
        <v>78.315899999999999</v>
      </c>
      <c r="D547" s="257">
        <v>13856</v>
      </c>
      <c r="E547" s="67">
        <f t="shared" si="98"/>
        <v>1085145.1103999999</v>
      </c>
      <c r="F547" s="57">
        <v>3183.5</v>
      </c>
      <c r="G547" s="67">
        <f t="shared" si="99"/>
        <v>249318.66764999999</v>
      </c>
      <c r="K547" s="20">
        <v>440</v>
      </c>
    </row>
    <row r="548" spans="1:14" ht="18.75" hidden="1" outlineLevel="2" x14ac:dyDescent="0.3">
      <c r="A548" s="149">
        <v>16</v>
      </c>
      <c r="B548" s="164">
        <v>46225</v>
      </c>
      <c r="C548" s="233">
        <v>78.554000000000002</v>
      </c>
      <c r="D548" s="57">
        <v>13895</v>
      </c>
      <c r="E548" s="67">
        <f t="shared" si="98"/>
        <v>1091507.83</v>
      </c>
      <c r="F548" s="57">
        <v>3205</v>
      </c>
      <c r="G548" s="67">
        <f t="shared" si="99"/>
        <v>251765.57</v>
      </c>
      <c r="K548" s="20">
        <v>440</v>
      </c>
    </row>
    <row r="549" spans="1:14" ht="18.75" hidden="1" outlineLevel="2" x14ac:dyDescent="0.3">
      <c r="A549" s="149">
        <v>17</v>
      </c>
      <c r="B549" s="164">
        <v>46226</v>
      </c>
      <c r="C549" s="233">
        <v>78.4756</v>
      </c>
      <c r="D549" s="57">
        <v>13745</v>
      </c>
      <c r="E549" s="67">
        <f t="shared" si="98"/>
        <v>1078647.122</v>
      </c>
      <c r="F549" s="57">
        <v>3194</v>
      </c>
      <c r="G549" s="67">
        <f t="shared" si="99"/>
        <v>250651.06640000001</v>
      </c>
      <c r="K549" s="20">
        <v>440</v>
      </c>
    </row>
    <row r="550" spans="1:14" ht="18.75" hidden="1" outlineLevel="2" x14ac:dyDescent="0.3">
      <c r="A550" s="149">
        <v>18</v>
      </c>
      <c r="B550" s="164">
        <v>46227</v>
      </c>
      <c r="C550" s="233">
        <v>78.404899999999998</v>
      </c>
      <c r="D550" s="57">
        <v>13617</v>
      </c>
      <c r="E550" s="67">
        <f t="shared" si="98"/>
        <v>1067639.5233</v>
      </c>
      <c r="F550" s="57">
        <v>3175</v>
      </c>
      <c r="G550" s="67">
        <f t="shared" si="99"/>
        <v>248935.5575</v>
      </c>
      <c r="K550" s="20">
        <v>440</v>
      </c>
    </row>
    <row r="551" spans="1:14" ht="18.75" hidden="1" outlineLevel="2" x14ac:dyDescent="0.3">
      <c r="A551" s="149"/>
      <c r="B551" s="164">
        <v>46228</v>
      </c>
      <c r="C551" s="254">
        <v>78.030799999999999</v>
      </c>
      <c r="D551" s="57"/>
      <c r="E551" s="67"/>
      <c r="F551" s="57"/>
      <c r="G551" s="67"/>
      <c r="K551" s="20">
        <v>440</v>
      </c>
    </row>
    <row r="552" spans="1:14" ht="18.75" hidden="1" outlineLevel="2" x14ac:dyDescent="0.3">
      <c r="A552" s="149"/>
      <c r="B552" s="164">
        <v>46229</v>
      </c>
      <c r="C552" s="254">
        <v>78.030799999999999</v>
      </c>
      <c r="D552" s="57"/>
      <c r="E552" s="67"/>
      <c r="F552" s="57"/>
      <c r="G552" s="67"/>
      <c r="K552" s="20">
        <v>440</v>
      </c>
    </row>
    <row r="553" spans="1:14" ht="18.75" hidden="1" outlineLevel="2" x14ac:dyDescent="0.3">
      <c r="A553" s="149">
        <v>19</v>
      </c>
      <c r="B553" s="164">
        <v>46230</v>
      </c>
      <c r="C553" s="254">
        <v>78.030799999999999</v>
      </c>
      <c r="D553" s="57">
        <v>13810</v>
      </c>
      <c r="E553" s="67">
        <f t="shared" si="98"/>
        <v>1077605.348</v>
      </c>
      <c r="F553" s="57">
        <v>3192</v>
      </c>
      <c r="G553" s="67">
        <f t="shared" si="99"/>
        <v>249074.31359999999</v>
      </c>
      <c r="K553" s="20">
        <v>440</v>
      </c>
    </row>
    <row r="554" spans="1:14" ht="18.75" hidden="1" outlineLevel="2" x14ac:dyDescent="0.3">
      <c r="A554" s="149">
        <v>20</v>
      </c>
      <c r="B554" s="164">
        <v>46231</v>
      </c>
      <c r="C554" s="86">
        <v>78.017200000000003</v>
      </c>
      <c r="D554" s="57">
        <v>13643.5</v>
      </c>
      <c r="E554" s="67">
        <f t="shared" si="98"/>
        <v>1064427.6682</v>
      </c>
      <c r="F554" s="57">
        <v>3159.5</v>
      </c>
      <c r="G554" s="67">
        <f t="shared" si="99"/>
        <v>246495.34340000001</v>
      </c>
      <c r="K554" s="20">
        <v>440</v>
      </c>
    </row>
    <row r="555" spans="1:14" ht="18.75" hidden="1" outlineLevel="2" x14ac:dyDescent="0.3">
      <c r="A555" s="149">
        <v>21</v>
      </c>
      <c r="B555" s="164">
        <v>46232</v>
      </c>
      <c r="C555" s="254">
        <v>79.356999999999999</v>
      </c>
      <c r="D555" s="57">
        <v>13633</v>
      </c>
      <c r="E555" s="67">
        <f t="shared" si="98"/>
        <v>1081873.9809999999</v>
      </c>
      <c r="F555" s="57">
        <v>3207</v>
      </c>
      <c r="G555" s="67">
        <f t="shared" si="99"/>
        <v>254497.899</v>
      </c>
      <c r="K555" s="20">
        <v>440</v>
      </c>
    </row>
    <row r="556" spans="1:14" ht="18.75" hidden="1" outlineLevel="2" x14ac:dyDescent="0.3">
      <c r="A556" s="149">
        <v>22</v>
      </c>
      <c r="B556" s="164">
        <v>46233</v>
      </c>
      <c r="C556" s="254">
        <v>79.356999999999999</v>
      </c>
      <c r="D556" s="57">
        <v>13795</v>
      </c>
      <c r="E556" s="67">
        <f t="shared" ref="E556" si="100">C556*D556</f>
        <v>1094729.8149999999</v>
      </c>
      <c r="F556" s="57">
        <v>3231</v>
      </c>
      <c r="G556" s="67">
        <f t="shared" ref="G556" si="101">F556*C556</f>
        <v>256402.467</v>
      </c>
      <c r="K556" s="20">
        <v>440</v>
      </c>
    </row>
    <row r="557" spans="1:14" ht="19.5" hidden="1" outlineLevel="2" thickBot="1" x14ac:dyDescent="0.35">
      <c r="A557" s="150">
        <v>23</v>
      </c>
      <c r="B557" s="154">
        <v>46234</v>
      </c>
      <c r="C557" s="260">
        <v>79.857299999999995</v>
      </c>
      <c r="D557" s="79">
        <v>13834</v>
      </c>
      <c r="E557" s="156">
        <f t="shared" ref="E557" si="102">C557*D557</f>
        <v>1104745.8881999999</v>
      </c>
      <c r="F557" s="79">
        <v>3196</v>
      </c>
      <c r="G557" s="156">
        <f t="shared" ref="G557" si="103">F557*C557</f>
        <v>255223.93079999997</v>
      </c>
      <c r="K557" s="20">
        <v>440</v>
      </c>
    </row>
    <row r="558" spans="1:14" ht="24" collapsed="1" thickBot="1" x14ac:dyDescent="0.4">
      <c r="A558" s="264" t="s">
        <v>69</v>
      </c>
      <c r="B558" s="265"/>
      <c r="C558" s="94">
        <f>SUM(C559:C589)/26</f>
        <v>82.616184615384626</v>
      </c>
      <c r="D558" s="224">
        <f>SUM(D559:D589)/17</f>
        <v>14325.176470588236</v>
      </c>
      <c r="E558" s="95">
        <f>SUM(E559:E589)/17</f>
        <v>1185213.4774617646</v>
      </c>
      <c r="F558" s="224">
        <f>SUM(F559:F589)/12</f>
        <v>3277.2083333333335</v>
      </c>
      <c r="G558" s="210">
        <f>SUM(G559:G589)/17</f>
        <v>190173.02142352946</v>
      </c>
      <c r="I558" s="25">
        <f>((D558)*C558*1.22+120000)/1000</f>
        <v>1563.8595372093396</v>
      </c>
      <c r="J558" s="25">
        <f>((F558+650)*C558*1.22+70000)/1000</f>
        <v>465.8301818014873</v>
      </c>
      <c r="K558" s="20">
        <v>445</v>
      </c>
      <c r="M558" s="246">
        <f>E558*1.22/1000</f>
        <v>1445.9604425033529</v>
      </c>
      <c r="N558" s="247">
        <f t="shared" ref="N558" si="104">G558*1.22/1000</f>
        <v>232.01108613670593</v>
      </c>
    </row>
    <row r="559" spans="1:14" outlineLevel="1" x14ac:dyDescent="0.25">
      <c r="A559" s="163"/>
      <c r="B559" s="152">
        <v>46235</v>
      </c>
      <c r="C559" s="256">
        <v>79.463700000000003</v>
      </c>
      <c r="D559" s="78"/>
      <c r="E559" s="244"/>
      <c r="F559" s="78"/>
      <c r="G559" s="244"/>
    </row>
    <row r="560" spans="1:14" outlineLevel="1" x14ac:dyDescent="0.25">
      <c r="A560" s="149"/>
      <c r="B560" s="164">
        <v>46236</v>
      </c>
      <c r="C560" s="254">
        <v>79.463700000000003</v>
      </c>
      <c r="D560" s="57"/>
      <c r="E560" s="67"/>
      <c r="F560" s="57"/>
      <c r="G560" s="67"/>
    </row>
    <row r="561" spans="1:7" outlineLevel="1" x14ac:dyDescent="0.25">
      <c r="A561" s="149">
        <v>1</v>
      </c>
      <c r="B561" s="164">
        <v>46237</v>
      </c>
      <c r="C561" s="254">
        <v>79.463700000000003</v>
      </c>
      <c r="D561" s="57">
        <v>13945</v>
      </c>
      <c r="E561" s="67">
        <f t="shared" ref="E561" si="105">C561*D561</f>
        <v>1108121.2964999999</v>
      </c>
      <c r="F561" s="57">
        <v>3260</v>
      </c>
      <c r="G561" s="67">
        <f t="shared" ref="G561" si="106">F561*C561</f>
        <v>259051.66200000001</v>
      </c>
    </row>
    <row r="562" spans="1:7" outlineLevel="1" x14ac:dyDescent="0.25">
      <c r="A562" s="149">
        <v>2</v>
      </c>
      <c r="B562" s="164">
        <v>46238</v>
      </c>
      <c r="C562" s="231">
        <v>80.068700000000007</v>
      </c>
      <c r="D562" s="57">
        <v>14195</v>
      </c>
      <c r="E562" s="67">
        <f t="shared" ref="E562:E589" si="107">C562*D562</f>
        <v>1136575.1965000001</v>
      </c>
      <c r="F562" s="57">
        <v>3271</v>
      </c>
      <c r="G562" s="67">
        <f t="shared" ref="G562:G589" si="108">F562*C562</f>
        <v>261904.71770000001</v>
      </c>
    </row>
    <row r="563" spans="1:7" outlineLevel="1" x14ac:dyDescent="0.25">
      <c r="A563" s="149">
        <v>3</v>
      </c>
      <c r="B563" s="164">
        <v>46239</v>
      </c>
      <c r="C563" s="254">
        <v>81.129099999999994</v>
      </c>
      <c r="D563" s="57">
        <v>14167.5</v>
      </c>
      <c r="E563" s="67">
        <f t="shared" si="107"/>
        <v>1149396.52425</v>
      </c>
      <c r="F563" s="57">
        <v>3229</v>
      </c>
      <c r="G563" s="67">
        <f t="shared" si="108"/>
        <v>261965.86389999997</v>
      </c>
    </row>
    <row r="564" spans="1:7" outlineLevel="1" x14ac:dyDescent="0.25">
      <c r="A564" s="149">
        <v>4</v>
      </c>
      <c r="B564" s="164">
        <v>46240</v>
      </c>
      <c r="C564" s="243">
        <v>80.929299999999998</v>
      </c>
      <c r="D564" s="57">
        <v>14465</v>
      </c>
      <c r="E564" s="67">
        <f t="shared" si="107"/>
        <v>1170642.3244999999</v>
      </c>
      <c r="F564" s="57">
        <v>3261</v>
      </c>
      <c r="G564" s="67">
        <f t="shared" si="108"/>
        <v>263910.4473</v>
      </c>
    </row>
    <row r="565" spans="1:7" outlineLevel="1" x14ac:dyDescent="0.25">
      <c r="A565" s="149">
        <v>5</v>
      </c>
      <c r="B565" s="164">
        <v>46241</v>
      </c>
      <c r="C565" s="254">
        <v>81.407700000000006</v>
      </c>
      <c r="D565" s="57">
        <v>14240</v>
      </c>
      <c r="E565" s="67">
        <f t="shared" si="107"/>
        <v>1159245.648</v>
      </c>
      <c r="F565" s="57">
        <v>3279.5</v>
      </c>
      <c r="G565" s="67">
        <f t="shared" si="108"/>
        <v>266976.55215</v>
      </c>
    </row>
    <row r="566" spans="1:7" outlineLevel="1" x14ac:dyDescent="0.25">
      <c r="A566" s="149"/>
      <c r="B566" s="164">
        <v>46242</v>
      </c>
      <c r="C566" s="237">
        <v>81.166499999999999</v>
      </c>
      <c r="D566" s="57"/>
      <c r="E566" s="67">
        <f t="shared" si="107"/>
        <v>0</v>
      </c>
      <c r="F566" s="57"/>
      <c r="G566" s="67">
        <f t="shared" si="108"/>
        <v>0</v>
      </c>
    </row>
    <row r="567" spans="1:7" outlineLevel="1" x14ac:dyDescent="0.25">
      <c r="A567" s="149"/>
      <c r="B567" s="164">
        <v>46243</v>
      </c>
      <c r="C567" s="237">
        <v>82.166499999999999</v>
      </c>
      <c r="D567" s="57"/>
      <c r="E567" s="67"/>
      <c r="F567" s="57"/>
      <c r="G567" s="67"/>
    </row>
    <row r="568" spans="1:7" outlineLevel="1" x14ac:dyDescent="0.25">
      <c r="A568" s="149">
        <v>6</v>
      </c>
      <c r="B568" s="164">
        <v>46244</v>
      </c>
      <c r="C568" s="233">
        <v>82.166499999999999</v>
      </c>
      <c r="D568" s="57">
        <v>14290</v>
      </c>
      <c r="E568" s="67">
        <f t="shared" si="107"/>
        <v>1174159.2849999999</v>
      </c>
      <c r="F568" s="57">
        <v>3327.5</v>
      </c>
      <c r="G568" s="67">
        <f t="shared" si="108"/>
        <v>273409.02875</v>
      </c>
    </row>
    <row r="569" spans="1:7" outlineLevel="1" x14ac:dyDescent="0.25">
      <c r="A569" s="149">
        <v>7</v>
      </c>
      <c r="B569" s="164">
        <v>46245</v>
      </c>
      <c r="C569" s="255">
        <v>82.605999999999995</v>
      </c>
      <c r="D569" s="57">
        <v>14424.5</v>
      </c>
      <c r="E569" s="67">
        <f t="shared" si="107"/>
        <v>1191550.247</v>
      </c>
      <c r="F569" s="57">
        <v>3373</v>
      </c>
      <c r="G569" s="67">
        <f t="shared" si="108"/>
        <v>278630.038</v>
      </c>
    </row>
    <row r="570" spans="1:7" outlineLevel="1" x14ac:dyDescent="0.25">
      <c r="A570" s="149">
        <v>8</v>
      </c>
      <c r="B570" s="164">
        <v>46246</v>
      </c>
      <c r="C570" s="237">
        <v>82.374200000000002</v>
      </c>
      <c r="D570" s="57">
        <v>14376</v>
      </c>
      <c r="E570" s="67">
        <f t="shared" si="107"/>
        <v>1184211.4992</v>
      </c>
      <c r="F570" s="57">
        <v>3307.5</v>
      </c>
      <c r="G570" s="67">
        <f t="shared" si="108"/>
        <v>272452.66649999999</v>
      </c>
    </row>
    <row r="571" spans="1:7" outlineLevel="1" x14ac:dyDescent="0.25">
      <c r="A571" s="149">
        <v>9</v>
      </c>
      <c r="B571" s="164">
        <v>46247</v>
      </c>
      <c r="C571" s="237">
        <v>82.997699999999995</v>
      </c>
      <c r="D571" s="57">
        <v>14285</v>
      </c>
      <c r="E571" s="67">
        <f t="shared" si="107"/>
        <v>1185622.1444999999</v>
      </c>
      <c r="F571" s="57">
        <v>3279</v>
      </c>
      <c r="G571" s="67">
        <f t="shared" si="108"/>
        <v>272149.4583</v>
      </c>
    </row>
    <row r="572" spans="1:7" outlineLevel="1" x14ac:dyDescent="0.25">
      <c r="A572" s="149">
        <v>10</v>
      </c>
      <c r="B572" s="164">
        <v>46248</v>
      </c>
      <c r="C572" s="237">
        <v>83.805800000000005</v>
      </c>
      <c r="D572" s="57">
        <v>14545</v>
      </c>
      <c r="E572" s="67">
        <f t="shared" si="107"/>
        <v>1218955.361</v>
      </c>
      <c r="F572" s="57">
        <v>3248</v>
      </c>
      <c r="G572" s="67">
        <f t="shared" si="108"/>
        <v>272201.23840000003</v>
      </c>
    </row>
    <row r="573" spans="1:7" outlineLevel="1" x14ac:dyDescent="0.25">
      <c r="A573" s="149"/>
      <c r="B573" s="164">
        <v>46249</v>
      </c>
      <c r="C573" s="233">
        <v>84.544899999999998</v>
      </c>
      <c r="D573" s="57"/>
      <c r="E573" s="67"/>
      <c r="F573" s="57"/>
      <c r="G573" s="67"/>
    </row>
    <row r="574" spans="1:7" outlineLevel="1" x14ac:dyDescent="0.25">
      <c r="A574" s="149"/>
      <c r="B574" s="164">
        <v>46250</v>
      </c>
      <c r="C574" s="239">
        <v>84.544899999999998</v>
      </c>
      <c r="D574" s="57"/>
      <c r="E574" s="67"/>
      <c r="F574" s="57"/>
      <c r="G574" s="67"/>
    </row>
    <row r="575" spans="1:7" outlineLevel="1" x14ac:dyDescent="0.25">
      <c r="A575" s="149">
        <v>11</v>
      </c>
      <c r="B575" s="164">
        <v>46251</v>
      </c>
      <c r="C575" s="233">
        <v>84.544899999999998</v>
      </c>
      <c r="D575" s="57">
        <v>14850</v>
      </c>
      <c r="E575" s="67">
        <f t="shared" si="107"/>
        <v>1255491.7649999999</v>
      </c>
      <c r="F575" s="57">
        <v>3272</v>
      </c>
      <c r="G575" s="67">
        <f t="shared" si="108"/>
        <v>276630.91279999999</v>
      </c>
    </row>
    <row r="576" spans="1:7" outlineLevel="1" x14ac:dyDescent="0.25">
      <c r="A576" s="149">
        <v>12</v>
      </c>
      <c r="B576" s="164">
        <v>46252</v>
      </c>
      <c r="C576" s="233">
        <v>85.013599999999997</v>
      </c>
      <c r="D576" s="57">
        <v>14335</v>
      </c>
      <c r="E576" s="67">
        <f t="shared" si="107"/>
        <v>1218669.956</v>
      </c>
      <c r="F576" s="57">
        <v>3219</v>
      </c>
      <c r="G576" s="67">
        <f t="shared" si="108"/>
        <v>273658.77840000001</v>
      </c>
    </row>
    <row r="577" spans="1:7" outlineLevel="1" x14ac:dyDescent="0.25">
      <c r="A577" s="149">
        <v>13</v>
      </c>
      <c r="B577" s="164">
        <v>46253</v>
      </c>
      <c r="C577" s="233">
        <v>85.164500000000004</v>
      </c>
      <c r="D577" s="57">
        <v>14180</v>
      </c>
      <c r="E577" s="67">
        <f t="shared" si="107"/>
        <v>1207632.6100000001</v>
      </c>
      <c r="F577" s="57"/>
      <c r="G577" s="67">
        <f t="shared" si="108"/>
        <v>0</v>
      </c>
    </row>
    <row r="578" spans="1:7" outlineLevel="1" x14ac:dyDescent="0.25">
      <c r="A578" s="149">
        <v>14</v>
      </c>
      <c r="B578" s="164">
        <v>46254</v>
      </c>
      <c r="C578" s="233">
        <v>85.129300000000001</v>
      </c>
      <c r="D578" s="57">
        <v>14170</v>
      </c>
      <c r="E578" s="67">
        <f t="shared" si="107"/>
        <v>1206282.1810000001</v>
      </c>
      <c r="F578" s="57"/>
      <c r="G578" s="67">
        <f t="shared" si="108"/>
        <v>0</v>
      </c>
    </row>
    <row r="579" spans="1:7" outlineLevel="1" x14ac:dyDescent="0.25">
      <c r="A579" s="149">
        <v>15</v>
      </c>
      <c r="B579" s="164">
        <v>46255</v>
      </c>
      <c r="C579" s="233">
        <v>83.355000000000004</v>
      </c>
      <c r="D579" s="257">
        <v>14291</v>
      </c>
      <c r="E579" s="67">
        <f t="shared" si="107"/>
        <v>1191226.3050000002</v>
      </c>
      <c r="F579" s="57"/>
      <c r="G579" s="67">
        <f t="shared" si="108"/>
        <v>0</v>
      </c>
    </row>
    <row r="580" spans="1:7" outlineLevel="1" x14ac:dyDescent="0.25">
      <c r="A580" s="149"/>
      <c r="B580" s="164">
        <v>46256</v>
      </c>
      <c r="C580" s="233">
        <v>82.921099999999996</v>
      </c>
      <c r="D580" s="57"/>
      <c r="E580" s="67"/>
      <c r="F580" s="57"/>
      <c r="G580" s="67"/>
    </row>
    <row r="581" spans="1:7" outlineLevel="1" x14ac:dyDescent="0.25">
      <c r="A581" s="149"/>
      <c r="B581" s="164">
        <v>46257</v>
      </c>
      <c r="C581" s="233">
        <v>82.921099999999996</v>
      </c>
      <c r="D581" s="57"/>
      <c r="E581" s="67"/>
      <c r="F581" s="57"/>
      <c r="G581" s="67"/>
    </row>
    <row r="582" spans="1:7" outlineLevel="1" x14ac:dyDescent="0.25">
      <c r="A582" s="149">
        <v>16</v>
      </c>
      <c r="B582" s="164">
        <v>46258</v>
      </c>
      <c r="C582" s="262">
        <v>82.921099999999996</v>
      </c>
      <c r="D582" s="57">
        <v>14344</v>
      </c>
      <c r="E582" s="67">
        <f t="shared" si="107"/>
        <v>1189420.2583999999</v>
      </c>
      <c r="F582" s="57"/>
      <c r="G582" s="67">
        <f t="shared" si="108"/>
        <v>0</v>
      </c>
    </row>
    <row r="583" spans="1:7" outlineLevel="1" x14ac:dyDescent="0.25">
      <c r="A583" s="149">
        <v>17</v>
      </c>
      <c r="B583" s="164">
        <v>46259</v>
      </c>
      <c r="C583" s="233">
        <v>83.287800000000004</v>
      </c>
      <c r="D583" s="57">
        <v>14425</v>
      </c>
      <c r="E583" s="67">
        <f t="shared" si="107"/>
        <v>1201426.5150000001</v>
      </c>
      <c r="F583" s="57"/>
      <c r="G583" s="67">
        <f t="shared" si="108"/>
        <v>0</v>
      </c>
    </row>
    <row r="584" spans="1:7" ht="16.5" outlineLevel="1" thickBot="1" x14ac:dyDescent="0.3">
      <c r="A584" s="149">
        <v>18</v>
      </c>
      <c r="B584" s="164">
        <v>46260</v>
      </c>
      <c r="C584" s="263">
        <v>84.463499999999996</v>
      </c>
      <c r="D584" s="57"/>
      <c r="E584" s="67">
        <f t="shared" si="107"/>
        <v>0</v>
      </c>
      <c r="F584" s="57"/>
      <c r="G584" s="67">
        <f t="shared" si="108"/>
        <v>0</v>
      </c>
    </row>
    <row r="585" spans="1:7" outlineLevel="1" x14ac:dyDescent="0.25">
      <c r="A585" s="149">
        <v>19</v>
      </c>
      <c r="B585" s="164">
        <v>46261</v>
      </c>
      <c r="C585" s="86"/>
      <c r="D585" s="57"/>
      <c r="E585" s="67">
        <f t="shared" si="107"/>
        <v>0</v>
      </c>
      <c r="F585" s="57"/>
      <c r="G585" s="67">
        <f t="shared" si="108"/>
        <v>0</v>
      </c>
    </row>
    <row r="586" spans="1:7" outlineLevel="1" x14ac:dyDescent="0.25">
      <c r="A586" s="149">
        <v>20</v>
      </c>
      <c r="B586" s="164">
        <v>46262</v>
      </c>
      <c r="C586" s="86"/>
      <c r="D586" s="57"/>
      <c r="E586" s="67">
        <f t="shared" si="107"/>
        <v>0</v>
      </c>
      <c r="F586" s="57"/>
      <c r="G586" s="67">
        <f t="shared" si="108"/>
        <v>0</v>
      </c>
    </row>
    <row r="587" spans="1:7" outlineLevel="1" x14ac:dyDescent="0.25">
      <c r="A587" s="149"/>
      <c r="B587" s="164">
        <v>46263</v>
      </c>
      <c r="C587" s="86"/>
      <c r="D587" s="57"/>
      <c r="E587" s="67"/>
      <c r="F587" s="57"/>
      <c r="G587" s="67"/>
    </row>
    <row r="588" spans="1:7" outlineLevel="1" x14ac:dyDescent="0.25">
      <c r="A588" s="149"/>
      <c r="B588" s="164">
        <v>46264</v>
      </c>
      <c r="C588" s="86"/>
      <c r="D588" s="57"/>
      <c r="E588" s="67"/>
      <c r="F588" s="57"/>
      <c r="G588" s="67"/>
    </row>
    <row r="589" spans="1:7" ht="16.5" outlineLevel="1" thickBot="1" x14ac:dyDescent="0.3">
      <c r="A589" s="150">
        <v>21</v>
      </c>
      <c r="B589" s="154">
        <v>46265</v>
      </c>
      <c r="C589" s="258"/>
      <c r="D589" s="79"/>
      <c r="E589" s="156">
        <f t="shared" si="107"/>
        <v>0</v>
      </c>
      <c r="F589" s="79"/>
      <c r="G589" s="156">
        <f t="shared" si="108"/>
        <v>0</v>
      </c>
    </row>
  </sheetData>
  <mergeCells count="21">
    <mergeCell ref="A558:B558"/>
    <mergeCell ref="A526:B526"/>
    <mergeCell ref="A494:B494"/>
    <mergeCell ref="A265:B265"/>
    <mergeCell ref="A232:B232"/>
    <mergeCell ref="A199:B199"/>
    <mergeCell ref="M1:N1"/>
    <mergeCell ref="A462:B462"/>
    <mergeCell ref="A429:B429"/>
    <mergeCell ref="A396:B396"/>
    <mergeCell ref="A363:B363"/>
    <mergeCell ref="A2:B2"/>
    <mergeCell ref="A3:B3"/>
    <mergeCell ref="A69:B69"/>
    <mergeCell ref="A166:B166"/>
    <mergeCell ref="A133:B133"/>
    <mergeCell ref="A102:B102"/>
    <mergeCell ref="A37:B37"/>
    <mergeCell ref="A4:B4"/>
    <mergeCell ref="A330:B330"/>
    <mergeCell ref="A297:B297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7F768-518A-43B5-9CF6-91168D43EFC6}">
  <dimension ref="A1"/>
  <sheetViews>
    <sheetView workbookViewId="0">
      <selection activeCell="B3" sqref="B3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F9DF9-2BCF-4273-8DB4-BC20494D7D54}">
  <dimension ref="A1:F24"/>
  <sheetViews>
    <sheetView workbookViewId="0">
      <selection activeCell="E27" sqref="E27"/>
    </sheetView>
  </sheetViews>
  <sheetFormatPr defaultRowHeight="15" x14ac:dyDescent="0.25"/>
  <cols>
    <col min="1" max="1" width="4.85546875" customWidth="1"/>
    <col min="2" max="2" width="28.85546875" customWidth="1"/>
    <col min="3" max="3" width="12" style="2" customWidth="1"/>
    <col min="4" max="4" width="11.5703125" style="2" customWidth="1"/>
    <col min="5" max="5" width="9.140625" style="2"/>
    <col min="6" max="6" width="49.85546875" style="2" customWidth="1"/>
  </cols>
  <sheetData>
    <row r="1" spans="1:6" s="1" customFormat="1" x14ac:dyDescent="0.25">
      <c r="B1" s="4"/>
      <c r="C1" s="4" t="s">
        <v>4</v>
      </c>
      <c r="D1" s="4" t="s">
        <v>5</v>
      </c>
      <c r="E1" s="4"/>
      <c r="F1" s="4" t="s">
        <v>18</v>
      </c>
    </row>
    <row r="3" spans="1:6" x14ac:dyDescent="0.25">
      <c r="A3" s="281" t="s">
        <v>0</v>
      </c>
      <c r="B3" s="281"/>
      <c r="C3" s="281"/>
      <c r="D3" s="281"/>
      <c r="E3" s="281"/>
      <c r="F3" s="281"/>
    </row>
    <row r="4" spans="1:6" x14ac:dyDescent="0.25">
      <c r="A4" s="3">
        <v>1</v>
      </c>
      <c r="B4" s="3" t="s">
        <v>9</v>
      </c>
      <c r="C4" s="5"/>
      <c r="D4" s="5"/>
      <c r="E4" s="6">
        <v>0.08</v>
      </c>
      <c r="F4" s="5" t="s">
        <v>10</v>
      </c>
    </row>
    <row r="5" spans="1:6" x14ac:dyDescent="0.25">
      <c r="A5" s="3">
        <v>2</v>
      </c>
      <c r="B5" s="3" t="s">
        <v>11</v>
      </c>
      <c r="C5" s="5"/>
      <c r="D5" s="5"/>
      <c r="E5" s="6">
        <v>0.02</v>
      </c>
      <c r="F5" s="5" t="s">
        <v>10</v>
      </c>
    </row>
    <row r="6" spans="1:6" x14ac:dyDescent="0.25">
      <c r="A6" s="3">
        <v>3</v>
      </c>
      <c r="B6" s="3" t="s">
        <v>12</v>
      </c>
      <c r="C6" s="5"/>
      <c r="D6" s="5"/>
      <c r="E6" s="6">
        <v>7.0000000000000007E-2</v>
      </c>
      <c r="F6" s="5" t="s">
        <v>20</v>
      </c>
    </row>
    <row r="7" spans="1:6" x14ac:dyDescent="0.25">
      <c r="A7" s="3">
        <v>4</v>
      </c>
      <c r="B7" s="3" t="s">
        <v>22</v>
      </c>
      <c r="C7" s="5">
        <v>1180</v>
      </c>
      <c r="D7" s="5">
        <v>1130</v>
      </c>
      <c r="E7" s="6">
        <v>0.05</v>
      </c>
      <c r="F7" s="5" t="s">
        <v>23</v>
      </c>
    </row>
    <row r="8" spans="1:6" x14ac:dyDescent="0.25">
      <c r="A8" s="47">
        <v>5</v>
      </c>
      <c r="B8" s="47" t="s">
        <v>36</v>
      </c>
      <c r="C8" s="48">
        <v>1005</v>
      </c>
      <c r="D8" s="48">
        <v>975</v>
      </c>
      <c r="E8" s="49">
        <v>0.03</v>
      </c>
      <c r="F8" s="48" t="s">
        <v>37</v>
      </c>
    </row>
    <row r="9" spans="1:6" x14ac:dyDescent="0.25">
      <c r="A9" s="3"/>
      <c r="B9" s="3"/>
      <c r="C9" s="5"/>
      <c r="D9" s="5"/>
      <c r="E9" s="6"/>
      <c r="F9" s="5"/>
    </row>
    <row r="10" spans="1:6" x14ac:dyDescent="0.25">
      <c r="A10" s="8"/>
      <c r="B10" s="8"/>
      <c r="C10" s="9"/>
      <c r="D10" s="9"/>
      <c r="E10" s="10"/>
      <c r="F10" s="9"/>
    </row>
    <row r="12" spans="1:6" x14ac:dyDescent="0.25">
      <c r="A12" s="280" t="s">
        <v>1</v>
      </c>
      <c r="B12" s="280"/>
      <c r="C12" s="280"/>
      <c r="D12" s="280"/>
      <c r="E12" s="280"/>
      <c r="F12" s="280"/>
    </row>
    <row r="13" spans="1:6" x14ac:dyDescent="0.25">
      <c r="A13" s="3">
        <v>1</v>
      </c>
      <c r="B13" s="3" t="s">
        <v>8</v>
      </c>
      <c r="C13" s="5"/>
      <c r="D13" s="5"/>
      <c r="E13" s="5"/>
      <c r="F13" s="5" t="s">
        <v>38</v>
      </c>
    </row>
    <row r="14" spans="1:6" ht="67.5" customHeight="1" x14ac:dyDescent="0.25">
      <c r="A14" s="3">
        <v>2</v>
      </c>
      <c r="B14" s="3" t="s">
        <v>17</v>
      </c>
      <c r="C14" s="5">
        <v>3110</v>
      </c>
      <c r="D14" s="5" t="s">
        <v>19</v>
      </c>
      <c r="E14" s="5"/>
      <c r="F14" s="7" t="s">
        <v>21</v>
      </c>
    </row>
    <row r="15" spans="1:6" ht="30" customHeight="1" x14ac:dyDescent="0.25">
      <c r="A15" s="3">
        <v>3</v>
      </c>
      <c r="B15" s="3" t="s">
        <v>33</v>
      </c>
      <c r="C15" s="50">
        <v>58000</v>
      </c>
      <c r="D15" s="50">
        <v>42700</v>
      </c>
      <c r="E15" s="6">
        <v>0.27</v>
      </c>
      <c r="F15" s="5" t="s">
        <v>34</v>
      </c>
    </row>
    <row r="16" spans="1:6" x14ac:dyDescent="0.25">
      <c r="A16" s="47">
        <v>4</v>
      </c>
      <c r="B16" s="47" t="s">
        <v>39</v>
      </c>
      <c r="C16" s="51">
        <v>4500000</v>
      </c>
      <c r="D16" s="51">
        <v>1500000</v>
      </c>
      <c r="E16" s="48"/>
      <c r="F16" s="48" t="s">
        <v>40</v>
      </c>
    </row>
    <row r="17" spans="1:6" x14ac:dyDescent="0.25">
      <c r="A17">
        <v>5</v>
      </c>
    </row>
    <row r="19" spans="1:6" x14ac:dyDescent="0.25">
      <c r="A19" s="279" t="s">
        <v>2</v>
      </c>
      <c r="B19" s="279"/>
      <c r="C19" s="279"/>
      <c r="D19" s="279"/>
      <c r="E19" s="279"/>
      <c r="F19" s="279"/>
    </row>
    <row r="20" spans="1:6" x14ac:dyDescent="0.25">
      <c r="A20" s="3">
        <v>1</v>
      </c>
      <c r="B20" s="3" t="s">
        <v>3</v>
      </c>
      <c r="C20" s="5" t="s">
        <v>6</v>
      </c>
      <c r="D20" s="5" t="s">
        <v>7</v>
      </c>
      <c r="E20" s="5"/>
      <c r="F20" s="5" t="s">
        <v>41</v>
      </c>
    </row>
    <row r="21" spans="1:6" x14ac:dyDescent="0.25">
      <c r="A21" s="3">
        <v>2</v>
      </c>
      <c r="B21" s="3" t="s">
        <v>13</v>
      </c>
      <c r="C21" s="5" t="s">
        <v>15</v>
      </c>
      <c r="D21" s="5" t="s">
        <v>16</v>
      </c>
      <c r="E21" s="5"/>
      <c r="F21" s="5" t="s">
        <v>14</v>
      </c>
    </row>
    <row r="22" spans="1:6" x14ac:dyDescent="0.25">
      <c r="A22" s="3">
        <v>3</v>
      </c>
      <c r="B22" s="3"/>
      <c r="C22" s="5"/>
      <c r="D22" s="5"/>
      <c r="E22" s="5"/>
      <c r="F22" s="5"/>
    </row>
    <row r="23" spans="1:6" x14ac:dyDescent="0.25">
      <c r="A23">
        <v>4</v>
      </c>
    </row>
    <row r="24" spans="1:6" x14ac:dyDescent="0.25">
      <c r="A24">
        <v>5</v>
      </c>
    </row>
  </sheetData>
  <mergeCells count="3">
    <mergeCell ref="A19:F19"/>
    <mergeCell ref="A12:F12"/>
    <mergeCell ref="A3:F3"/>
  </mergeCells>
  <pageMargins left="0.25" right="0.25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ФОРМУЛЫ </vt:lpstr>
      <vt:lpstr>ЦЕНЫ</vt:lpstr>
      <vt:lpstr>Лист1</vt:lpstr>
      <vt:lpstr>РЕЗУЛЬТАТ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Елена Лифшиц</dc:creator>
  <cp:lastModifiedBy>Елена Лифшиц</cp:lastModifiedBy>
  <cp:lastPrinted>2025-04-08T11:20:21Z</cp:lastPrinted>
  <dcterms:created xsi:type="dcterms:W3CDTF">2025-04-02T07:52:41Z</dcterms:created>
  <dcterms:modified xsi:type="dcterms:W3CDTF">2026-08-28T10:40:32Z</dcterms:modified>
</cp:coreProperties>
</file>